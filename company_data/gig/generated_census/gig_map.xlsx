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599" firstSheet="0" activeTab="0" autoFilterDateGrouping="1"/>
  </bookViews>
  <sheets>
    <sheet name="Census" sheetId="1" state="visible" r:id="rId1"/>
  </sheets>
  <definedNames>
    <definedName name="inception_date">Census!$Z$2</definedName>
  </definedNames>
  <calcPr calcId="191029" fullCalcOnLoad="1"/>
</workbook>
</file>

<file path=xl/styles.xml><?xml version="1.0" encoding="utf-8"?>
<styleSheet xmlns="http://schemas.openxmlformats.org/spreadsheetml/2006/main">
  <numFmts count="2">
    <numFmt numFmtId="164" formatCode="DD-MM-YY"/>
    <numFmt numFmtId="165" formatCode="DD/MM/YYYY"/>
  </numFmts>
  <fonts count="21">
    <font>
      <name val="Calibri"/>
      <family val="2"/>
      <color theme="1"/>
      <sz val="11"/>
      <scheme val="minor"/>
    </font>
    <font>
      <name val="Calibri"/>
      <family val="2"/>
      <b val="1"/>
      <color theme="0"/>
      <sz val="11"/>
      <scheme val="minor"/>
    </font>
    <font>
      <name val="Calibri"/>
      <family val="2"/>
      <color rgb="FFFF0000"/>
      <sz val="11"/>
      <scheme val="minor"/>
    </font>
    <font>
      <name val="Calibri"/>
      <family val="2"/>
      <color theme="0"/>
      <sz val="11"/>
      <scheme val="minor"/>
    </font>
    <font>
      <name val="Calibri"/>
      <family val="2"/>
      <color theme="1"/>
      <sz val="11"/>
      <scheme val="minor"/>
    </font>
    <font>
      <name val="Calibri"/>
      <family val="2"/>
      <b val="1"/>
      <color theme="0"/>
      <sz val="10"/>
      <scheme val="minor"/>
    </font>
    <font>
      <name val="Calibri"/>
      <family val="2"/>
      <b val="1"/>
      <color rgb="FFFF0000"/>
      <sz val="10"/>
      <scheme val="minor"/>
    </font>
    <font>
      <name val="Calibri"/>
      <family val="2"/>
      <color theme="0"/>
      <sz val="8"/>
      <scheme val="minor"/>
    </font>
    <font>
      <name val="Calibri"/>
      <family val="2"/>
      <color theme="1"/>
      <sz val="8"/>
      <scheme val="minor"/>
    </font>
    <font>
      <name val="Calibri"/>
      <family val="2"/>
      <sz val="8"/>
      <scheme val="minor"/>
    </font>
    <font>
      <name val="Calibri"/>
      <family val="2"/>
      <color theme="1"/>
      <sz val="9"/>
      <scheme val="minor"/>
    </font>
    <font>
      <name val="Calibri"/>
      <family val="2"/>
      <color theme="1"/>
      <sz val="10"/>
      <scheme val="minor"/>
    </font>
    <font>
      <name val="Arial"/>
      <family val="2"/>
      <sz val="10"/>
    </font>
    <font>
      <name val="Verdana"/>
      <family val="2"/>
      <sz val="10"/>
    </font>
    <font>
      <name val="Cambria"/>
      <family val="2"/>
      <b val="1"/>
      <color theme="3"/>
      <sz val="18"/>
      <scheme val="major"/>
    </font>
    <font>
      <name val="Calibri"/>
      <family val="2"/>
      <color rgb="FF9C6500"/>
      <sz val="11"/>
      <scheme val="minor"/>
    </font>
    <font>
      <name val="Calibri"/>
      <family val="2"/>
      <color theme="6"/>
      <sz val="10"/>
      <scheme val="minor"/>
    </font>
    <font>
      <name val="Calibri"/>
      <family val="2"/>
      <b val="1"/>
      <color theme="5"/>
      <sz val="9"/>
      <scheme val="minor"/>
    </font>
    <font>
      <name val="Calibri"/>
      <family val="2"/>
      <b val="1"/>
      <color theme="6"/>
      <sz val="14"/>
      <scheme val="minor"/>
    </font>
    <font>
      <name val="Calibri"/>
      <family val="2"/>
      <color theme="6"/>
      <sz val="8"/>
      <scheme val="minor"/>
    </font>
    <font/>
  </fonts>
  <fills count="15">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6" tint="-0.249946592608417"/>
        <bgColor indexed="64"/>
      </patternFill>
    </fill>
    <fill>
      <patternFill patternType="solid">
        <fgColor rgb="FFECC2C8"/>
        <bgColor indexed="64"/>
      </patternFill>
    </fill>
    <fill>
      <patternFill patternType="solid">
        <fgColor theme="0"/>
        <bgColor indexed="64"/>
      </patternFill>
    </fill>
    <fill>
      <patternFill patternType="solid">
        <fgColor rgb="FFB73A4B"/>
        <bgColor indexed="64"/>
      </patternFill>
    </fill>
    <fill>
      <patternFill patternType="solid">
        <fgColor rgb="FF0070C0"/>
        <bgColor indexed="64"/>
      </patternFill>
    </fill>
    <fill>
      <patternFill patternType="solid">
        <fgColor theme="6" tint="0.5999938962981048"/>
        <bgColor indexed="64"/>
      </patternFill>
    </fill>
  </fills>
  <borders count="21">
    <border>
      <left/>
      <right/>
      <top/>
      <bottom/>
      <diagonal/>
    </border>
    <border>
      <left style="thin">
        <color theme="0" tint="-0.1499679555650502"/>
      </left>
      <right style="thin">
        <color theme="0" tint="-0.1499679555650502"/>
      </right>
      <top style="thin">
        <color theme="0" tint="-0.1499679555650502"/>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tted">
        <color indexed="64"/>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dotted">
        <color indexed="64"/>
      </left>
      <right/>
      <top/>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style="dotted">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borders>
  <cellStyleXfs count="36">
    <xf numFmtId="0" fontId="4" fillId="0" borderId="0"/>
    <xf numFmtId="43" fontId="4" fillId="0" borderId="0"/>
    <xf numFmtId="43" fontId="4" fillId="0" borderId="0"/>
    <xf numFmtId="0" fontId="12"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12" fillId="0" borderId="0"/>
    <xf numFmtId="0" fontId="12" fillId="0" borderId="0"/>
    <xf numFmtId="0" fontId="13" fillId="0" borderId="0"/>
    <xf numFmtId="0" fontId="4" fillId="0" borderId="0"/>
    <xf numFmtId="0" fontId="4" fillId="0" borderId="0"/>
    <xf numFmtId="0" fontId="4" fillId="0" borderId="0"/>
    <xf numFmtId="0" fontId="4" fillId="0" borderId="0"/>
    <xf numFmtId="0" fontId="13" fillId="0" borderId="0"/>
    <xf numFmtId="0" fontId="4" fillId="0" borderId="0"/>
    <xf numFmtId="0" fontId="4" fillId="0" borderId="0"/>
    <xf numFmtId="0" fontId="4" fillId="0" borderId="0"/>
    <xf numFmtId="0" fontId="14" fillId="0" borderId="0"/>
    <xf numFmtId="0" fontId="15" fillId="2" borderId="0"/>
    <xf numFmtId="0" fontId="3" fillId="3" borderId="0"/>
    <xf numFmtId="0" fontId="3" fillId="4" borderId="0"/>
    <xf numFmtId="0" fontId="3" fillId="5" borderId="0"/>
    <xf numFmtId="0" fontId="3" fillId="6" borderId="0"/>
    <xf numFmtId="0" fontId="3" fillId="7" borderId="0"/>
    <xf numFmtId="0" fontId="3" fillId="8" borderId="0"/>
    <xf numFmtId="0" fontId="1" fillId="9" borderId="0"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1" applyAlignment="1">
      <alignment horizontal="left" vertical="center"/>
    </xf>
    <xf numFmtId="164" fontId="20" fillId="0" borderId="20"/>
  </cellStyleXfs>
  <cellXfs count="89">
    <xf numFmtId="0" fontId="0" fillId="0" borderId="0" pivotButton="0" quotePrefix="0" xfId="0"/>
    <xf numFmtId="14" fontId="0" fillId="0" borderId="0" pivotButton="0" quotePrefix="0" xfId="0"/>
    <xf numFmtId="14" fontId="11" fillId="10" borderId="0" applyAlignment="1" applyProtection="1" pivotButton="0" quotePrefix="0" xfId="0">
      <alignment horizontal="center"/>
      <protection locked="0" hidden="0"/>
    </xf>
    <xf numFmtId="14" fontId="11" fillId="11" borderId="0" applyAlignment="1" applyProtection="1" pivotButton="0" quotePrefix="0" xfId="0">
      <alignment horizontal="center"/>
      <protection locked="0" hidden="0"/>
    </xf>
    <xf numFmtId="49" fontId="1" fillId="12" borderId="0" applyAlignment="1" applyProtection="1" pivotButton="0" quotePrefix="0" xfId="0">
      <alignment horizontal="center" vertical="center"/>
      <protection locked="1" hidden="1"/>
    </xf>
    <xf numFmtId="49" fontId="3" fillId="11" borderId="0" applyAlignment="1" pivotButton="0" quotePrefix="0" xfId="0">
      <alignment vertical="center"/>
    </xf>
    <xf numFmtId="49" fontId="3" fillId="13" borderId="0" applyAlignment="1" pivotButton="0" quotePrefix="0" xfId="0">
      <alignment vertical="center"/>
    </xf>
    <xf numFmtId="49" fontId="7" fillId="13" borderId="2" applyAlignment="1" applyProtection="1" pivotButton="0" quotePrefix="0" xfId="0">
      <alignment horizontal="left" vertical="center"/>
      <protection locked="1" hidden="1"/>
    </xf>
    <xf numFmtId="49" fontId="7" fillId="13" borderId="3" applyAlignment="1" applyProtection="1" pivotButton="0" quotePrefix="0" xfId="0">
      <alignment vertical="center"/>
      <protection locked="1" hidden="1"/>
    </xf>
    <xf numFmtId="49" fontId="11" fillId="10" borderId="0" applyAlignment="1" pivotButton="0" quotePrefix="0" xfId="0">
      <alignment horizontal="center"/>
    </xf>
    <xf numFmtId="49" fontId="0" fillId="11" borderId="0" pivotButton="0" quotePrefix="0" xfId="0"/>
    <xf numFmtId="49" fontId="0" fillId="13" borderId="0" pivotButton="0" quotePrefix="0" xfId="0"/>
    <xf numFmtId="49" fontId="0" fillId="0" borderId="0" pivotButton="0" quotePrefix="0" xfId="0"/>
    <xf numFmtId="49" fontId="9" fillId="11" borderId="4" applyAlignment="1" applyProtection="1" pivotButton="0" quotePrefix="0" xfId="0">
      <alignment horizontal="center"/>
      <protection locked="1" hidden="1"/>
    </xf>
    <xf numFmtId="49" fontId="11" fillId="11" borderId="0" applyAlignment="1" pivotButton="0" quotePrefix="0" xfId="0">
      <alignment horizontal="center"/>
    </xf>
    <xf numFmtId="49" fontId="11" fillId="11" borderId="0" applyProtection="1" pivotButton="0" quotePrefix="0" xfId="0">
      <protection locked="0" hidden="0"/>
    </xf>
    <xf numFmtId="49" fontId="11" fillId="11" borderId="0" applyAlignment="1" applyProtection="1" pivotButton="0" quotePrefix="0" xfId="0">
      <alignment horizontal="center"/>
      <protection locked="0" hidden="0"/>
    </xf>
    <xf numFmtId="49" fontId="11" fillId="11" borderId="0" applyAlignment="1" applyProtection="1" pivotButton="0" quotePrefix="0" xfId="0">
      <alignment horizontal="center" wrapText="1"/>
      <protection locked="0" hidden="0"/>
    </xf>
    <xf numFmtId="49" fontId="10" fillId="11" borderId="0" applyAlignment="1" pivotButton="0" quotePrefix="0" xfId="0">
      <alignment horizontal="center"/>
    </xf>
    <xf numFmtId="49" fontId="10" fillId="11" borderId="5" applyAlignment="1" pivotButton="0" quotePrefix="0" xfId="0">
      <alignment horizontal="center"/>
    </xf>
    <xf numFmtId="49" fontId="8" fillId="11" borderId="0" applyAlignment="1" pivotButton="0" quotePrefix="0" xfId="0">
      <alignment horizontal="center"/>
    </xf>
    <xf numFmtId="49" fontId="8" fillId="0" borderId="0" applyAlignment="1" pivotButton="0" quotePrefix="0" xfId="1">
      <alignment horizontal="right"/>
    </xf>
    <xf numFmtId="49" fontId="0" fillId="0" borderId="0" applyProtection="1" pivotButton="0" quotePrefix="0" xfId="0">
      <protection locked="1" hidden="1"/>
    </xf>
    <xf numFmtId="49" fontId="2" fillId="11" borderId="0" pivotButton="0" quotePrefix="0" xfId="0"/>
    <xf numFmtId="49" fontId="0" fillId="11" borderId="0" applyAlignment="1" pivotButton="0" quotePrefix="0" xfId="0">
      <alignment horizontal="center"/>
    </xf>
    <xf numFmtId="49" fontId="0" fillId="11" borderId="6" applyAlignment="1" pivotButton="0" quotePrefix="0" xfId="0">
      <alignment horizontal="center"/>
    </xf>
    <xf numFmtId="49" fontId="0" fillId="11" borderId="7" applyAlignment="1" pivotButton="0" quotePrefix="0" xfId="0">
      <alignment horizontal="center"/>
    </xf>
    <xf numFmtId="49" fontId="0" fillId="11" borderId="8" applyAlignment="1" pivotButton="0" quotePrefix="0" xfId="0">
      <alignment horizontal="center"/>
    </xf>
    <xf numFmtId="49" fontId="10" fillId="11" borderId="9" applyAlignment="1" pivotButton="0" quotePrefix="0" xfId="0">
      <alignment horizontal="center"/>
    </xf>
    <xf numFmtId="49" fontId="0" fillId="11" borderId="0" applyAlignment="1" applyProtection="1" pivotButton="0" quotePrefix="0" xfId="0">
      <alignment horizontal="center"/>
      <protection locked="1" hidden="1"/>
    </xf>
    <xf numFmtId="49" fontId="0" fillId="11" borderId="0" applyProtection="1" pivotButton="0" quotePrefix="0" xfId="0">
      <protection locked="1" hidden="1"/>
    </xf>
    <xf numFmtId="49" fontId="0" fillId="0" borderId="0" applyAlignment="1" applyProtection="1" pivotButton="0" quotePrefix="0" xfId="0">
      <alignment horizontal="center"/>
      <protection locked="1" hidden="1"/>
    </xf>
    <xf numFmtId="49" fontId="0" fillId="14" borderId="0" applyProtection="1" pivotButton="0" quotePrefix="0" xfId="0">
      <protection locked="1" hidden="1"/>
    </xf>
    <xf numFmtId="49" fontId="10" fillId="0" borderId="0" applyProtection="1" pivotButton="0" quotePrefix="0" xfId="0">
      <protection locked="1" hidden="1"/>
    </xf>
    <xf numFmtId="49" fontId="8" fillId="0" borderId="0" applyProtection="1" pivotButton="0" quotePrefix="0" xfId="0">
      <protection locked="1" hidden="1"/>
    </xf>
    <xf numFmtId="0" fontId="1" fillId="12" borderId="0" applyAlignment="1" applyProtection="1" pivotButton="0" quotePrefix="0" xfId="0">
      <alignment horizontal="center" vertical="center"/>
      <protection locked="1" hidden="1"/>
    </xf>
    <xf numFmtId="0" fontId="1" fillId="12" borderId="0" applyAlignment="1" applyProtection="1" pivotButton="0" quotePrefix="0" xfId="0">
      <alignment horizontal="center" vertical="center" wrapText="1"/>
      <protection locked="1" hidden="1"/>
    </xf>
    <xf numFmtId="0" fontId="11" fillId="10" borderId="0" applyAlignment="1" pivotButton="0" quotePrefix="0" xfId="0">
      <alignment horizontal="center"/>
    </xf>
    <xf numFmtId="0" fontId="11" fillId="10" borderId="0" applyProtection="1" pivotButton="0" quotePrefix="0" xfId="0">
      <protection locked="0" hidden="0"/>
    </xf>
    <xf numFmtId="0" fontId="11" fillId="10" borderId="0" applyAlignment="1" applyProtection="1" pivotButton="0" quotePrefix="0" xfId="0">
      <alignment horizontal="center"/>
      <protection locked="0" hidden="0"/>
    </xf>
    <xf numFmtId="0" fontId="11" fillId="10" borderId="0" applyAlignment="1" applyProtection="1" pivotButton="0" quotePrefix="0" xfId="0">
      <alignment horizontal="center" wrapText="1"/>
      <protection locked="0" hidden="0"/>
    </xf>
    <xf numFmtId="0" fontId="11" fillId="10" borderId="9" applyAlignment="1" pivotButton="0" quotePrefix="0" xfId="0">
      <alignment horizontal="center"/>
    </xf>
    <xf numFmtId="0" fontId="11" fillId="11" borderId="0" applyAlignment="1" pivotButton="0" quotePrefix="0" xfId="0">
      <alignment horizontal="center"/>
    </xf>
    <xf numFmtId="0" fontId="11" fillId="11" borderId="0" applyProtection="1" pivotButton="0" quotePrefix="0" xfId="0">
      <protection locked="0" hidden="0"/>
    </xf>
    <xf numFmtId="0" fontId="11" fillId="11" borderId="0" applyAlignment="1" applyProtection="1" pivotButton="0" quotePrefix="0" xfId="0">
      <alignment horizontal="center"/>
      <protection locked="0" hidden="0"/>
    </xf>
    <xf numFmtId="0" fontId="11" fillId="11" borderId="0" applyAlignment="1" applyProtection="1" pivotButton="0" quotePrefix="0" xfId="0">
      <alignment horizontal="center" wrapText="1"/>
      <protection locked="0" hidden="0"/>
    </xf>
    <xf numFmtId="0" fontId="11" fillId="11" borderId="9" applyAlignment="1" pivotButton="0" quotePrefix="0" xfId="0">
      <alignment horizontal="center"/>
    </xf>
    <xf numFmtId="49" fontId="3" fillId="13" borderId="0" applyAlignment="1" pivotButton="0" quotePrefix="0" xfId="0">
      <alignment vertical="center" wrapText="1"/>
    </xf>
    <xf numFmtId="0" fontId="0" fillId="13" borderId="0" pivotButton="0" quotePrefix="0" xfId="0"/>
    <xf numFmtId="0" fontId="2" fillId="11" borderId="0" pivotButton="0" quotePrefix="0" xfId="0"/>
    <xf numFmtId="1" fontId="11" fillId="10" borderId="0" applyAlignment="1" pivotButton="0" quotePrefix="0" xfId="0">
      <alignment horizontal="center"/>
    </xf>
    <xf numFmtId="0" fontId="10" fillId="10" borderId="0" applyAlignment="1" pivotButton="0" quotePrefix="0" xfId="0">
      <alignment horizontal="center"/>
    </xf>
    <xf numFmtId="0" fontId="10" fillId="10" borderId="5" applyAlignment="1" pivotButton="0" quotePrefix="0" xfId="0">
      <alignment horizontal="center"/>
    </xf>
    <xf numFmtId="0" fontId="8" fillId="10" borderId="0" applyAlignment="1" pivotButton="0" quotePrefix="0" xfId="0">
      <alignment horizontal="center"/>
    </xf>
    <xf numFmtId="0" fontId="0" fillId="10" borderId="10" applyAlignment="1" pivotButton="0" quotePrefix="0" xfId="0">
      <alignment horizontal="center"/>
    </xf>
    <xf numFmtId="0" fontId="0" fillId="10" borderId="11" applyAlignment="1" pivotButton="0" quotePrefix="0" xfId="0">
      <alignment horizontal="center"/>
    </xf>
    <xf numFmtId="0" fontId="0" fillId="10" borderId="12" applyAlignment="1" pivotButton="0" quotePrefix="0" xfId="0">
      <alignment horizontal="center"/>
    </xf>
    <xf numFmtId="0" fontId="10" fillId="11" borderId="0" applyAlignment="1" pivotButton="0" quotePrefix="0" xfId="0">
      <alignment horizontal="center"/>
    </xf>
    <xf numFmtId="0" fontId="10" fillId="11" borderId="5" applyAlignment="1" pivotButton="0" quotePrefix="0" xfId="0">
      <alignment horizontal="center"/>
    </xf>
    <xf numFmtId="0" fontId="8" fillId="11" borderId="0" applyAlignment="1" pivotButton="0" quotePrefix="0" xfId="0">
      <alignment horizontal="center"/>
    </xf>
    <xf numFmtId="0" fontId="0" fillId="11" borderId="10" applyAlignment="1" pivotButton="0" quotePrefix="0" xfId="0">
      <alignment horizontal="center"/>
    </xf>
    <xf numFmtId="0" fontId="0" fillId="11" borderId="11" applyAlignment="1" pivotButton="0" quotePrefix="0" xfId="0">
      <alignment horizontal="center"/>
    </xf>
    <xf numFmtId="0" fontId="0" fillId="11" borderId="12" applyAlignment="1" pivotButton="0" quotePrefix="0" xfId="0">
      <alignment horizontal="center"/>
    </xf>
    <xf numFmtId="14" fontId="0" fillId="0" borderId="0" applyProtection="1" pivotButton="0" quotePrefix="0" xfId="0">
      <protection locked="0" hidden="0"/>
    </xf>
    <xf numFmtId="49" fontId="3" fillId="11" borderId="0" pivotButton="0" quotePrefix="0" xfId="0"/>
    <xf numFmtId="49" fontId="11" fillId="10" borderId="0" applyAlignment="1" applyProtection="1" pivotButton="0" quotePrefix="0" xfId="0">
      <alignment horizontal="center" wrapText="1"/>
      <protection locked="0" hidden="0"/>
    </xf>
    <xf numFmtId="14" fontId="11" fillId="0" borderId="0" applyAlignment="1" applyProtection="1" pivotButton="0" quotePrefix="0" xfId="0">
      <alignment horizontal="center"/>
      <protection locked="0" hidden="0"/>
    </xf>
    <xf numFmtId="0" fontId="11" fillId="0" borderId="0" applyAlignment="1" applyProtection="1" pivotButton="0" quotePrefix="0" xfId="0">
      <alignment horizontal="center" wrapText="1"/>
      <protection locked="0" hidden="0"/>
    </xf>
    <xf numFmtId="0" fontId="11" fillId="0" borderId="0" applyAlignment="1" applyProtection="1" pivotButton="0" quotePrefix="0" xfId="0">
      <alignment horizontal="center"/>
      <protection locked="0" hidden="0"/>
    </xf>
    <xf numFmtId="0" fontId="11" fillId="0" borderId="0" applyAlignment="1" pivotButton="0" quotePrefix="0" xfId="0">
      <alignment horizontal="center"/>
    </xf>
    <xf numFmtId="14" fontId="1" fillId="12" borderId="0" applyAlignment="1" applyProtection="1" pivotButton="0" quotePrefix="0" xfId="0">
      <alignment horizontal="center" vertical="center" wrapText="1"/>
      <protection locked="1" hidden="1"/>
    </xf>
    <xf numFmtId="14" fontId="0" fillId="11" borderId="0" applyProtection="1" pivotButton="0" quotePrefix="0" xfId="0">
      <protection locked="1" hidden="1"/>
    </xf>
    <xf numFmtId="14" fontId="0" fillId="0" borderId="0" applyProtection="1" pivotButton="0" quotePrefix="0" xfId="0">
      <protection locked="1" hidden="1"/>
    </xf>
    <xf numFmtId="14" fontId="10" fillId="0" borderId="0" applyProtection="1" pivotButton="0" quotePrefix="0" xfId="0">
      <protection locked="1" hidden="1"/>
    </xf>
    <xf numFmtId="0" fontId="1" fillId="12" borderId="9" applyAlignment="1" applyProtection="1" pivotButton="0" quotePrefix="0" xfId="0">
      <alignment horizontal="center" vertical="center"/>
      <protection locked="1" hidden="1"/>
    </xf>
    <xf numFmtId="0" fontId="1" fillId="12" borderId="0" applyAlignment="1" applyProtection="1" pivotButton="0" quotePrefix="0" xfId="0">
      <alignment horizontal="center" vertical="center"/>
      <protection locked="1" hidden="1"/>
    </xf>
    <xf numFmtId="0" fontId="1" fillId="12" borderId="5" applyAlignment="1" applyProtection="1" pivotButton="0" quotePrefix="0" xfId="0">
      <alignment horizontal="center" vertical="center"/>
      <protection locked="1" hidden="1"/>
    </xf>
    <xf numFmtId="0" fontId="5" fillId="12" borderId="13" applyAlignment="1" applyProtection="1" pivotButton="0" quotePrefix="0" xfId="0">
      <alignment horizontal="center" vertical="center" wrapText="1"/>
      <protection locked="1" hidden="1"/>
    </xf>
    <xf numFmtId="0" fontId="5" fillId="12" borderId="14" applyAlignment="1" applyProtection="1" pivotButton="0" quotePrefix="0" xfId="0">
      <alignment horizontal="center" vertical="center"/>
      <protection locked="1" hidden="1"/>
    </xf>
    <xf numFmtId="0" fontId="5" fillId="12" borderId="15" applyAlignment="1" applyProtection="1" pivotButton="0" quotePrefix="0" xfId="0">
      <alignment horizontal="center" vertical="center"/>
      <protection locked="1" hidden="1"/>
    </xf>
    <xf numFmtId="0" fontId="1" fillId="12" borderId="16" applyAlignment="1" applyProtection="1" pivotButton="0" quotePrefix="0" xfId="0">
      <alignment horizontal="center" vertical="center"/>
      <protection locked="1" hidden="1"/>
    </xf>
    <xf numFmtId="0" fontId="0" fillId="0" borderId="0" applyProtection="1" pivotButton="0" quotePrefix="0" xfId="0">
      <protection locked="1" hidden="1"/>
    </xf>
    <xf numFmtId="0" fontId="0" fillId="0" borderId="5" applyProtection="1" pivotButton="0" quotePrefix="0" xfId="0">
      <protection locked="1" hidden="1"/>
    </xf>
    <xf numFmtId="0" fontId="5" fillId="12" borderId="17" applyAlignment="1" applyProtection="1" pivotButton="0" quotePrefix="0" xfId="0">
      <alignment horizontal="center" vertical="center" wrapText="1"/>
      <protection locked="1" hidden="1"/>
    </xf>
    <xf numFmtId="0" fontId="0" fillId="0" borderId="14" applyProtection="1" pivotButton="0" quotePrefix="0" xfId="0">
      <protection locked="1" hidden="1"/>
    </xf>
    <xf numFmtId="0" fontId="0" fillId="0" borderId="15" applyProtection="1" pivotButton="0" quotePrefix="0" xfId="0">
      <protection locked="1" hidden="1"/>
    </xf>
    <xf numFmtId="164" fontId="11" fillId="10" borderId="0" applyAlignment="1" applyProtection="1" pivotButton="0" quotePrefix="0" xfId="0">
      <alignment horizontal="center"/>
      <protection locked="0" hidden="0"/>
    </xf>
    <xf numFmtId="165" fontId="0" fillId="0" borderId="0" applyProtection="1" pivotButton="0" quotePrefix="0" xfId="0">
      <protection locked="0" hidden="0"/>
    </xf>
    <xf numFmtId="164" fontId="11" fillId="0" borderId="0" applyAlignment="1" applyProtection="1" pivotButton="0" quotePrefix="0" xfId="0">
      <alignment horizontal="center"/>
      <protection locked="0" hidden="0"/>
    </xf>
  </cellXfs>
  <cellStyles count="36">
    <cellStyle name="Normal" xfId="0" builtinId="0"/>
    <cellStyle name="Milliers 2" xfId="1"/>
    <cellStyle name="Comma 18" xfId="2"/>
    <cellStyle name="Normal 2" xfId="3"/>
    <cellStyle name="Normal 3" xfId="4"/>
    <cellStyle name="Normal 3 2" xfId="5"/>
    <cellStyle name="Normal 3 3" xfId="6"/>
    <cellStyle name="Normal 3 4" xfId="7"/>
    <cellStyle name="Normal 3 5" xfId="8"/>
    <cellStyle name="Normal 3 6" xfId="9"/>
    <cellStyle name="Normal 3 7" xfId="10"/>
    <cellStyle name="Normal 4" xfId="11"/>
    <cellStyle name="Normal 5" xfId="12"/>
    <cellStyle name="Normal 6" xfId="13"/>
    <cellStyle name="Normal 6 2" xfId="14"/>
    <cellStyle name="Normal 6 3" xfId="15"/>
    <cellStyle name="Normal 7 2" xfId="16"/>
    <cellStyle name="Normal 7 3" xfId="17"/>
    <cellStyle name="Normal 8" xfId="18"/>
    <cellStyle name="Normal 8 2" xfId="19"/>
    <cellStyle name="Normal 8 3" xfId="20"/>
    <cellStyle name="Normal 9" xfId="21"/>
    <cellStyle name="Title 2" xfId="22"/>
    <cellStyle name="Neutral 2" xfId="23"/>
    <cellStyle name="60% - Accent1 2" xfId="24"/>
    <cellStyle name="60% - Accent2 2" xfId="25"/>
    <cellStyle name="60% - Accent3 2" xfId="26"/>
    <cellStyle name="60% - Accent4 2" xfId="27"/>
    <cellStyle name="60% - Accent5 2" xfId="28"/>
    <cellStyle name="60% - Accent6 2" xfId="29"/>
    <cellStyle name="Heading 1 2" xfId="30"/>
    <cellStyle name="Normal 2 2" xfId="31"/>
    <cellStyle name="Heading 3 2" xfId="32"/>
    <cellStyle name="Heading 4 2" xfId="33"/>
    <cellStyle name="Data Labels" xfId="34"/>
    <cellStyle name="date_style" xfId="35" hidden="0"/>
  </cellStyles>
  <dxfs count="3">
    <dxf>
      <fill>
        <patternFill>
          <bgColor theme="2" tint="-0.249946592608417"/>
        </patternFill>
      </fill>
    </dxf>
    <dxf>
      <fill>
        <patternFill>
          <bgColor rgb="FFCCFF99"/>
        </patternFill>
      </fill>
    </dxf>
    <dxf>
      <font>
        <b val="1"/>
        <color theme="0"/>
      </font>
      <fill>
        <patternFill>
          <bgColor rgb="FFFA586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AN264"/>
  <sheetViews>
    <sheetView tabSelected="1" zoomScale="85" workbookViewId="0">
      <selection activeCell="H5" sqref="H5"/>
    </sheetView>
  </sheetViews>
  <sheetFormatPr baseColWidth="8" defaultColWidth="11.42578125" defaultRowHeight="15" zeroHeight="1"/>
  <cols>
    <col width="4.140625" bestFit="1" customWidth="1" style="31" min="1" max="1"/>
    <col width="39.28515625" customWidth="1" style="22" min="2" max="2"/>
    <col width="11" bestFit="1" customWidth="1" style="22" min="3" max="3"/>
    <col width="9.7109375" bestFit="1" customWidth="1" style="22" min="4" max="5"/>
    <col width="23.28515625" customWidth="1" style="22" min="6" max="6"/>
    <col width="17.85546875" customWidth="1" style="72" min="7" max="7"/>
    <col width="17.85546875" customWidth="1" style="22" min="8" max="8"/>
    <col width="13.42578125" customWidth="1" style="22" min="9" max="9"/>
    <col width="14.5703125" customWidth="1" style="22" min="10" max="10"/>
    <col width="12" customWidth="1" style="22" min="11" max="11"/>
    <col width="14.42578125" customWidth="1" style="22" min="12" max="12"/>
    <col width="14" customWidth="1" style="22" min="13" max="14"/>
    <col width="6.42578125" customWidth="1" style="22" min="15" max="17"/>
    <col width="9.5703125" customWidth="1" style="22" min="18" max="18"/>
    <col width="4.85546875" customWidth="1" style="22" min="19" max="24"/>
    <col width="9.5703125" customWidth="1" style="22" min="25" max="25"/>
    <col width="14.28515625" customWidth="1" style="64" min="26" max="26"/>
    <col width="15" bestFit="1" customWidth="1" style="22" min="27" max="27"/>
    <col width="11.5703125" customWidth="1" style="22" min="28" max="28"/>
    <col width="13.140625" customWidth="1" style="22" min="29" max="29"/>
    <col width="13" customWidth="1" style="22" min="30" max="30"/>
    <col width="12.140625" customWidth="1" style="22" min="31" max="31"/>
    <col width="10.5703125" customWidth="1" style="22" min="32" max="32"/>
    <col width="10.28515625" customWidth="1" style="22" min="33" max="33"/>
    <col width="12.42578125" customWidth="1" style="22" min="34" max="34"/>
    <col width="5.85546875" customWidth="1" style="22" min="35" max="35"/>
    <col width="18.42578125" customWidth="1" style="22" min="36" max="36"/>
    <col width="7.42578125" customWidth="1" style="22" min="37" max="37"/>
    <col width="8.85546875" customWidth="1" style="22" min="38" max="38"/>
    <col width="10" customWidth="1" style="22" min="39" max="39"/>
    <col width="11.5703125" customWidth="1" style="22" min="40" max="40"/>
    <col width="8.85546875" customWidth="1" style="22" min="41" max="54"/>
    <col width="11.42578125" customWidth="1" style="22" min="55" max="55"/>
    <col width="11.42578125" customWidth="1" style="22" min="56" max="16384"/>
  </cols>
  <sheetData>
    <row r="1" ht="39.75" customFormat="1" customHeight="1" s="6" thickBot="1">
      <c r="A1" s="75" t="inlineStr">
        <is>
          <t>SN</t>
        </is>
      </c>
      <c r="B1" s="75" t="inlineStr">
        <is>
          <t>Name</t>
        </is>
      </c>
      <c r="C1" s="75" t="inlineStr">
        <is>
          <t>Relation</t>
        </is>
      </c>
      <c r="D1" s="75" t="inlineStr">
        <is>
          <t>Gender</t>
        </is>
      </c>
      <c r="E1" s="75" t="inlineStr">
        <is>
          <t>Marital</t>
        </is>
      </c>
      <c r="F1" s="75" t="inlineStr">
        <is>
          <t>Member type</t>
        </is>
      </c>
      <c r="G1" s="70" t="inlineStr">
        <is>
          <t>Date of Birth
(DD/MM/YYYY)</t>
        </is>
      </c>
      <c r="H1" s="36" t="inlineStr">
        <is>
          <t>Nationality</t>
        </is>
      </c>
      <c r="I1" s="75" t="inlineStr">
        <is>
          <t>Category</t>
        </is>
      </c>
      <c r="J1" s="75" t="inlineStr">
        <is>
          <t>Age</t>
        </is>
      </c>
      <c r="K1" s="75" t="inlineStr">
        <is>
          <t>Age Band</t>
        </is>
      </c>
      <c r="L1" s="36" t="inlineStr">
        <is>
          <t>Health UW Loading</t>
        </is>
      </c>
      <c r="M1" s="36" t="inlineStr">
        <is>
          <t>Life UW Loading</t>
        </is>
      </c>
      <c r="N1" s="36" t="inlineStr">
        <is>
          <t>PA UW Loading</t>
        </is>
      </c>
      <c r="O1" s="80" t="inlineStr">
        <is>
          <t>Eligible for</t>
        </is>
      </c>
      <c r="P1" s="81" t="n"/>
      <c r="Q1" s="82" t="n"/>
      <c r="R1" s="75" t="inlineStr">
        <is>
          <t>Control</t>
        </is>
      </c>
      <c r="S1" s="83" t="inlineStr">
        <is>
          <t>CHECK FORMAT INPUT
If RED Check &amp; input again</t>
        </is>
      </c>
      <c r="T1" s="84" t="n"/>
      <c r="U1" s="84" t="n"/>
      <c r="V1" s="84" t="n"/>
      <c r="W1" s="84" t="n"/>
      <c r="X1" s="85" t="n"/>
      <c r="Y1" s="5" t="n"/>
      <c r="Z1" s="47" t="inlineStr">
        <is>
          <t>Effective date</t>
        </is>
      </c>
      <c r="AA1" s="47" t="inlineStr">
        <is>
          <t>Census Check</t>
        </is>
      </c>
      <c r="AB1" s="6" t="inlineStr">
        <is>
          <t>CHK Name</t>
        </is>
      </c>
      <c r="AC1" s="6" t="inlineStr">
        <is>
          <t>CHK Gender</t>
        </is>
      </c>
      <c r="AD1" s="6" t="inlineStr">
        <is>
          <t>CHK relation</t>
        </is>
      </c>
      <c r="AE1" s="6" t="inlineStr">
        <is>
          <t>CHK Marital</t>
        </is>
      </c>
      <c r="AF1" s="6" t="inlineStr">
        <is>
          <t>CHK DOB</t>
        </is>
      </c>
      <c r="AG1" s="6" t="inlineStr">
        <is>
          <t>CHK Plan</t>
        </is>
      </c>
      <c r="AH1" s="6" t="inlineStr">
        <is>
          <t>Check Final</t>
        </is>
      </c>
      <c r="AJ1" s="7" t="inlineStr">
        <is>
          <t>Age band Reference Table</t>
        </is>
      </c>
      <c r="AK1" s="8" t="n"/>
    </row>
    <row r="2" customFormat="1" s="11">
      <c r="A2" s="37" t="n">
        <v>1</v>
      </c>
      <c r="B2" s="38" t="inlineStr">
        <is>
          <t>Abhishek</t>
        </is>
      </c>
      <c r="C2" s="39" t="inlineStr">
        <is>
          <t>E</t>
        </is>
      </c>
      <c r="D2" s="40" t="inlineStr">
        <is>
          <t>M</t>
        </is>
      </c>
      <c r="E2" s="40" t="inlineStr">
        <is>
          <t>M</t>
        </is>
      </c>
      <c r="F2" s="39" t="inlineStr">
        <is>
          <t>Employee Male – Married</t>
        </is>
      </c>
      <c r="G2" s="86" t="n">
        <v>29768</v>
      </c>
      <c r="H2" s="39" t="inlineStr">
        <is>
          <t>Indian</t>
        </is>
      </c>
      <c r="I2" s="39" t="inlineStr">
        <is>
          <t>CAT 1</t>
        </is>
      </c>
      <c r="J2" s="50">
        <f>IFERROR(IF(G2="","",ROUNDDOWN(IF($G2="","",(inception_date-$G2)/365.25),0)),0)</f>
        <v/>
      </c>
      <c r="K2" s="37">
        <f>IF(I2="","",IF($AM$3=1,IFERROR(IF(J2=FALSE,"",VLOOKUP(J2,$AJ$1:$AK$18,2,1)),""),IFERROR(IF(J2 = "FALSE","",VLOOKUP(J2,#REF!,2,TRUE)),"")))</f>
        <v/>
      </c>
      <c r="L2" s="37" t="n"/>
      <c r="M2" s="37" t="n"/>
      <c r="N2" s="37" t="n"/>
      <c r="O2" s="41">
        <f>IF(C2="","",IF(R2=1,"Yes","No"))</f>
        <v/>
      </c>
      <c r="P2" s="51">
        <f>IFERROR(IF(C2="","",IF(AND(Census!C2="E",Census!J2&gt;=18,Census!J2&lt;=65),"Yes","No")),"ERROR")</f>
        <v/>
      </c>
      <c r="Q2" s="52">
        <f>IFERROR(IF(C2="","",IF(AND(Census!C2="E",Census!J2&gt;=18,Census!J2&lt;=64),"Yes","No")),"ERROR")</f>
        <v/>
      </c>
      <c r="R2" s="53">
        <f>IF(OR(AB2&lt;&gt;1,AC2&lt;&gt;1,AD2&lt;&gt;1,AF2&lt;&gt;1,AE2&lt;&gt;1,AG2&lt;&gt;1),-1,1)</f>
        <v/>
      </c>
      <c r="S2" s="54">
        <f>AB2</f>
        <v/>
      </c>
      <c r="T2" s="55">
        <f>AC2</f>
        <v/>
      </c>
      <c r="U2" s="55">
        <f>AD2</f>
        <v/>
      </c>
      <c r="V2" s="55">
        <f>AE2</f>
        <v/>
      </c>
      <c r="W2" s="55">
        <f>AF2</f>
        <v/>
      </c>
      <c r="X2" s="56">
        <f>AG2</f>
        <v/>
      </c>
      <c r="Y2" s="10" t="n"/>
      <c r="Z2" s="87" t="n">
        <v>46660</v>
      </c>
      <c r="AA2">
        <f>IF((COUNTIF(AH2:AH201,0)+COUNTIF(AH2:AH201,-1))&gt;MIN(COUNTIF(AE2:AE201,0),COUNTIF(AF2:AF201,-1),COUNTIF(AG2:AG201,0)),0,1)</f>
        <v/>
      </c>
      <c r="AB2" s="48">
        <f>IFERROR(IF(OR(B2=0,B2=""),0,1),0)</f>
        <v/>
      </c>
      <c r="AC2" s="48">
        <f>IFERROR(IF(OR(C2="S",C2="D"),IF(AND(C2="D",D2="F"),1,IF(AND(C2="S",D2="M"),1,0)),IF(OR(C2="W",C2="H"),IF(OR(AND(C2="W",D2="F"),AND(C2="H",D2="M")),1,),IF(OR(D2="M",D2="F"),1,0))),0)</f>
        <v/>
      </c>
      <c r="AD2" s="48">
        <f>IFERROR(IF(OR(C2="E",C2="W",C2="H"),1,IF(C2 = "S",IF(D2="M",1,0),IF(D2 = "F",1,0))),0)</f>
        <v/>
      </c>
      <c r="AE2" s="48">
        <f>IFERROR(IF(OR(E2="M",E2="S"),IF(E2="M",IF(OR(C2="S",C2 = "D"),0,1),IF(OR(C2="W",C2="H"),0,1)),0),0)</f>
        <v/>
      </c>
      <c r="AF2">
        <f>IF(G2="",-1,IF(AND(G2&lt;=TODAY(),ISNUMBER(DATE(YEAR(G2),MONTH(G2),DAY(G2)))),IF(AND(OR(C2="S",C2="D"),J2&gt;24),-1,1),-1))</f>
        <v/>
      </c>
      <c r="AG2" s="48">
        <f>IF(OR(I2="CAT 1",I2="CAT 2",I2="CAT 3",I2="CAT 4"),1,0)</f>
        <v/>
      </c>
      <c r="AH2" s="48">
        <f>PRODUCT(AF2:AG2)*AE2</f>
        <v/>
      </c>
      <c r="AJ2" s="13" t="n">
        <v>0</v>
      </c>
      <c r="AK2" s="13" t="inlineStr">
        <is>
          <t>0-4</t>
        </is>
      </c>
    </row>
    <row r="3" customFormat="1" s="12">
      <c r="A3" s="42" t="n">
        <v>2</v>
      </c>
      <c r="B3" s="43" t="inlineStr">
        <is>
          <t xml:space="preserve">Ekta </t>
        </is>
      </c>
      <c r="C3" s="44" t="inlineStr">
        <is>
          <t>W</t>
        </is>
      </c>
      <c r="D3" s="67" t="inlineStr">
        <is>
          <t>F</t>
        </is>
      </c>
      <c r="E3" s="67" t="inlineStr">
        <is>
          <t>M</t>
        </is>
      </c>
      <c r="F3" s="39" t="inlineStr">
        <is>
          <t>Spouse Female – Married</t>
        </is>
      </c>
      <c r="G3" s="88" t="n">
        <v>31601</v>
      </c>
      <c r="H3" s="68" t="inlineStr">
        <is>
          <t>Indian</t>
        </is>
      </c>
      <c r="I3" s="68" t="inlineStr">
        <is>
          <t>CAT 1</t>
        </is>
      </c>
      <c r="J3" s="69">
        <f>IFERROR(IF(G3="","",ROUNDDOWN(IF($G3="","",(inception_date-$G3)/365.25),0)),0)</f>
        <v/>
      </c>
      <c r="K3" s="42">
        <f>IF(I3="","",IF($AM$3=1,IFERROR(IF(J3=FALSE,"",VLOOKUP(J3,$AJ$1:$AK$18,2,1)),""),IFERROR(IF(J3 = "FALSE","",VLOOKUP(J3,#REF!,2,TRUE)),"")))</f>
        <v/>
      </c>
      <c r="L3" s="42" t="n"/>
      <c r="M3" s="42" t="n"/>
      <c r="N3" s="42" t="n"/>
      <c r="O3" s="46">
        <f>IF(C3="","",IF(R3=1,"Yes","No"))</f>
        <v/>
      </c>
      <c r="P3" s="57">
        <f>IFERROR(IF(C3="","",IF(AND(Census!C3="E",Census!J3&gt;=18,Census!J3&lt;=65),"Yes","No")),"ERROR")</f>
        <v/>
      </c>
      <c r="Q3" s="58">
        <f>IFERROR(IF(C3="","",IF(AND(Census!C3="E",Census!J3&gt;=18,Census!J3&lt;=64),"Yes","No")),"ERROR")</f>
        <v/>
      </c>
      <c r="R3" s="59">
        <f>IF(OR(AB3&lt;&gt;1,AC3&lt;&gt;1,AD3&lt;&gt;1,AF3&lt;&gt;1,AE3&lt;&gt;1,AG3&lt;&gt;1),-1,1)</f>
        <v/>
      </c>
      <c r="S3" s="60">
        <f>AB3</f>
        <v/>
      </c>
      <c r="T3" s="61">
        <f>AC3</f>
        <v/>
      </c>
      <c r="U3" s="61">
        <f>AD3</f>
        <v/>
      </c>
      <c r="V3" s="61">
        <f>AE3</f>
        <v/>
      </c>
      <c r="W3" s="61">
        <f>AF3</f>
        <v/>
      </c>
      <c r="X3" s="62">
        <f>AG3</f>
        <v/>
      </c>
      <c r="Y3" s="10" t="n"/>
      <c r="Z3" s="10" t="n"/>
      <c r="AA3" s="10" t="n"/>
      <c r="AB3">
        <f>IFERROR(IF(OR(B3=0,B3=""),0,1),0)</f>
        <v/>
      </c>
      <c r="AC3">
        <f>IFERROR(IF(OR(C3="S",C3="D"),IF(AND(C3="D",D3="F"),1,IF(AND(C3="S",D3="M"),1,0)),IF(OR(C3="W",C3="H"),IF(OR(AND(C3="W",D3="F"),AND(C3="H",D3="M")),1,),IF(OR(D3="M",D3="F"),1,0))),0)</f>
        <v/>
      </c>
      <c r="AD3">
        <f>IFERROR(IF(OR(C3="E",C3="W",C3="H"),1,IF(C3 = "S",IF(D3="M",1,0),IF(D3 = "F",1,0))),0)</f>
        <v/>
      </c>
      <c r="AE3">
        <f>IFERROR(IF(OR(E3="M",E3="S"),IF(E3="M",IF(OR(C3="S",C3 = "D"),0,1),IF(OR(C3="W",C3="H"),0,1)),0),0)</f>
        <v/>
      </c>
      <c r="AF3">
        <f>IF(G3="",-1,IF(AND(G3&lt;=TODAY(),ISNUMBER(DATE(YEAR(G3),MONTH(G3),DAY(G3)))),IF(AND(OR(C3="S",C3="D"),J3&gt;24),-1,1),-1))</f>
        <v/>
      </c>
      <c r="AG3">
        <f>IF(OR(I3="CAT 1",I3="CAT 2",I3="CAT 3",I3="CAT 4"),1,0)</f>
        <v/>
      </c>
      <c r="AH3">
        <f>PRODUCT(AF3:AG3)*AE3</f>
        <v/>
      </c>
      <c r="AI3" s="12">
        <f>YEAR(TODAY())</f>
        <v/>
      </c>
      <c r="AJ3" s="13">
        <f>AJ2+5</f>
        <v/>
      </c>
      <c r="AK3" s="13" t="inlineStr">
        <is>
          <t>5-9</t>
        </is>
      </c>
      <c r="AM3" s="21" t="n">
        <v>1</v>
      </c>
    </row>
    <row r="4" customFormat="1" s="12">
      <c r="A4" s="37" t="n">
        <v>3</v>
      </c>
      <c r="B4" s="38" t="inlineStr">
        <is>
          <t>Aalia</t>
        </is>
      </c>
      <c r="C4" s="39" t="inlineStr">
        <is>
          <t>D</t>
        </is>
      </c>
      <c r="D4" s="40" t="inlineStr">
        <is>
          <t>F</t>
        </is>
      </c>
      <c r="E4" s="40" t="inlineStr">
        <is>
          <t>S</t>
        </is>
      </c>
      <c r="F4" s="39" t="inlineStr">
        <is>
          <t>Child Female – Single</t>
        </is>
      </c>
      <c r="G4" s="86" t="n">
        <v>40202</v>
      </c>
      <c r="H4" s="39" t="inlineStr">
        <is>
          <t>Indian</t>
        </is>
      </c>
      <c r="I4" s="39" t="inlineStr">
        <is>
          <t>CAT 1</t>
        </is>
      </c>
      <c r="J4" s="50">
        <f>IFERROR(IF(G4="","",ROUNDDOWN(IF($G4="","",(inception_date-$G4)/365.25),0)),0)</f>
        <v/>
      </c>
      <c r="K4" s="37">
        <f>IF(I4="","",IF($AM$3=1,IFERROR(IF(J4=FALSE,"",VLOOKUP(J4,$AJ$1:$AK$18,2,1)),""),IFERROR(IF(J4 = "FALSE","",VLOOKUP(J4,#REF!,2,TRUE)),"")))</f>
        <v/>
      </c>
      <c r="L4" s="37" t="n"/>
      <c r="M4" s="37" t="n"/>
      <c r="N4" s="37" t="n"/>
      <c r="O4" s="41">
        <f>IF(C4="","",IF(R4=1,"Yes","No"))</f>
        <v/>
      </c>
      <c r="P4" s="51">
        <f>IFERROR(IF(C4="","",IF(AND(Census!C4="E",Census!J4&gt;=18,Census!J4&lt;=65),"Yes","No")),"ERROR")</f>
        <v/>
      </c>
      <c r="Q4" s="52">
        <f>IFERROR(IF(C4="","",IF(AND(Census!C4="E",Census!J4&gt;=18,Census!J4&lt;=64),"Yes","No")),"ERROR")</f>
        <v/>
      </c>
      <c r="R4" s="53">
        <f>IF(OR(AB4&lt;&gt;1,AC4&lt;&gt;1,AD4&lt;&gt;1,AF4&lt;&gt;1,AE4&lt;&gt;1,AG4&lt;&gt;1),-1,1)</f>
        <v/>
      </c>
      <c r="S4" s="54">
        <f>AB4</f>
        <v/>
      </c>
      <c r="T4" s="55">
        <f>AC4</f>
        <v/>
      </c>
      <c r="U4" s="55">
        <f>AD4</f>
        <v/>
      </c>
      <c r="V4" s="55">
        <f>AE4</f>
        <v/>
      </c>
      <c r="W4" s="55">
        <f>AF4</f>
        <v/>
      </c>
      <c r="X4" s="56">
        <f>AG4</f>
        <v/>
      </c>
      <c r="Y4" s="10" t="n"/>
      <c r="Z4" s="10" t="n"/>
      <c r="AA4" s="10" t="n"/>
      <c r="AB4">
        <f>IFERROR(IF(OR(B4=0,B4=""),0,1),0)</f>
        <v/>
      </c>
      <c r="AC4">
        <f>IFERROR(IF(OR(C4="S",C4="D"),IF(AND(C4="D",D4="F"),1,IF(AND(C4="S",D4="M"),1,0)),IF(OR(C4="W",C4="H"),IF(OR(AND(C4="W",D4="F"),AND(C4="H",D4="M")),1,),IF(OR(D4="M",D4="F"),1,0))),0)</f>
        <v/>
      </c>
      <c r="AD4">
        <f>IFERROR(IF(OR(C4="E",C4="W",C4="H"),1,IF(C4 = "S",IF(D4="M",1,0),IF(D4 = "F",1,0))),0)</f>
        <v/>
      </c>
      <c r="AE4">
        <f>IFERROR(IF(OR(E4="M",E4="S"),IF(E4="M",IF(OR(C4="S",C4 = "D"),0,1),IF(OR(C4="W",C4="H"),0,1)),0),0)</f>
        <v/>
      </c>
      <c r="AF4">
        <f>IF(G4="",-1,IF(AND(G4&lt;=TODAY(),ISNUMBER(DATE(YEAR(G4),MONTH(G4),DAY(G4)))),IF(AND(OR(C4="S",C4="D"),J4&gt;24),-1,1),-1))</f>
        <v/>
      </c>
      <c r="AG4">
        <f>IF(OR(I4="CAT 1",I4="CAT 2",I4="CAT 3",I4="CAT 4"),1,0)</f>
        <v/>
      </c>
      <c r="AH4">
        <f>PRODUCT(AF4:AG4)*AE4</f>
        <v/>
      </c>
      <c r="AJ4" s="13">
        <f>AJ3+5</f>
        <v/>
      </c>
      <c r="AK4" s="13" t="inlineStr">
        <is>
          <t>10-14</t>
        </is>
      </c>
    </row>
    <row r="5" customFormat="1" s="12">
      <c r="A5" s="42" t="n">
        <v>4</v>
      </c>
      <c r="B5" s="43" t="inlineStr">
        <is>
          <t>Rudraksh</t>
        </is>
      </c>
      <c r="C5" s="44" t="inlineStr">
        <is>
          <t>S</t>
        </is>
      </c>
      <c r="D5" s="45" t="inlineStr">
        <is>
          <t>M</t>
        </is>
      </c>
      <c r="E5" s="67" t="inlineStr">
        <is>
          <t>S</t>
        </is>
      </c>
      <c r="F5" s="39" t="inlineStr">
        <is>
          <t>Child Male – Single</t>
        </is>
      </c>
      <c r="G5" s="88" t="n">
        <v>42005</v>
      </c>
      <c r="H5" s="68" t="inlineStr">
        <is>
          <t>Indian</t>
        </is>
      </c>
      <c r="I5" s="68" t="inlineStr">
        <is>
          <t>CAT 1</t>
        </is>
      </c>
      <c r="J5" s="69">
        <f>IFERROR(IF(G5="","",ROUNDDOWN(IF($G5="","",(inception_date-$G5)/365.25),0)),0)</f>
        <v/>
      </c>
      <c r="K5" s="42">
        <f>IF(I5="","",IF($AM$3=1,IFERROR(IF(J5=FALSE,"",VLOOKUP(J5,$AJ$1:$AK$18,2,1)),""),IFERROR(IF(J5 = "FALSE","",VLOOKUP(J5,#REF!,2,TRUE)),"")))</f>
        <v/>
      </c>
      <c r="L5" s="42" t="n"/>
      <c r="M5" s="42" t="n"/>
      <c r="N5" s="42" t="n"/>
      <c r="O5" s="46">
        <f>IF(C5="","",IF(R5=1,"Yes","No"))</f>
        <v/>
      </c>
      <c r="P5" s="57">
        <f>IFERROR(IF(C5="","",IF(AND(Census!C5="E",Census!J5&gt;=18,Census!J5&lt;=65),"Yes","No")),"ERROR")</f>
        <v/>
      </c>
      <c r="Q5" s="58">
        <f>IFERROR(IF(C5="","",IF(AND(Census!C5="E",Census!J5&gt;=18,Census!J5&lt;=64),"Yes","No")),"ERROR")</f>
        <v/>
      </c>
      <c r="R5" s="59">
        <f>IF(OR(AB5&lt;&gt;1,AC5&lt;&gt;1,AD5&lt;&gt;1,AF5&lt;&gt;1,AE5&lt;&gt;1,AG5&lt;&gt;1),-1,1)</f>
        <v/>
      </c>
      <c r="S5" s="60">
        <f>AB5</f>
        <v/>
      </c>
      <c r="T5" s="61">
        <f>AC5</f>
        <v/>
      </c>
      <c r="U5" s="61">
        <f>AD5</f>
        <v/>
      </c>
      <c r="V5" s="61">
        <f>AE5</f>
        <v/>
      </c>
      <c r="W5" s="61">
        <f>AF5</f>
        <v/>
      </c>
      <c r="X5" s="62">
        <f>AG5</f>
        <v/>
      </c>
      <c r="Y5" s="23" t="n"/>
      <c r="Z5" s="23" t="n"/>
      <c r="AA5" s="23" t="n"/>
      <c r="AB5">
        <f>IFERROR(IF(OR(B5=0,B5=""),0,1),0)</f>
        <v/>
      </c>
      <c r="AC5">
        <f>IFERROR(IF(OR(C5="S",C5="D"),IF(AND(C5="D",D5="F"),1,IF(AND(C5="S",D5="M"),1,0)),IF(OR(C5="W",C5="H"),IF(OR(AND(C5="W",D5="F"),AND(C5="H",D5="M")),1,),IF(OR(D5="M",D5="F"),1,0))),0)</f>
        <v/>
      </c>
      <c r="AD5">
        <f>IFERROR(IF(OR(C5="E",C5="W",C5="H"),1,IF(C5 = "S",IF(D5="M",1,0),IF(D5 = "F",1,0))),0)</f>
        <v/>
      </c>
      <c r="AE5">
        <f>IFERROR(IF(OR(E5="M",E5="S"),IF(E5="M",IF(OR(C5="S",C5 = "D"),0,1),IF(OR(C5="W",C5="H"),0,1)),0),0)</f>
        <v/>
      </c>
      <c r="AF5">
        <f>IF(G5="",-1,IF(AND(G5&lt;=TODAY(),ISNUMBER(DATE(YEAR(G5),MONTH(G5),DAY(G5)))),IF(AND(OR(C5="S",C5="D"),J5&gt;24),-1,1),-1))</f>
        <v/>
      </c>
      <c r="AG5">
        <f>IF(OR(I5="CAT 1",I5="CAT 2",I5="CAT 3",I5="CAT 4"),1,0)</f>
        <v/>
      </c>
      <c r="AH5">
        <f>PRODUCT(AF5:AG5)*AE5</f>
        <v/>
      </c>
      <c r="AJ5" s="13">
        <f>AJ4+5</f>
        <v/>
      </c>
      <c r="AK5" s="13" t="inlineStr">
        <is>
          <t>15-19</t>
        </is>
      </c>
    </row>
    <row r="6" customFormat="1" s="12">
      <c r="A6" s="37" t="n">
        <v>5</v>
      </c>
      <c r="B6" s="38" t="inlineStr">
        <is>
          <t>Jennie</t>
        </is>
      </c>
      <c r="C6" s="39" t="inlineStr">
        <is>
          <t>E</t>
        </is>
      </c>
      <c r="D6" s="40" t="inlineStr">
        <is>
          <t>F</t>
        </is>
      </c>
      <c r="E6" s="40" t="inlineStr">
        <is>
          <t>M</t>
        </is>
      </c>
      <c r="F6" s="39" t="inlineStr">
        <is>
          <t>Employee Female – Married</t>
        </is>
      </c>
      <c r="G6" s="86" t="n">
        <v>33925</v>
      </c>
      <c r="H6" s="39" t="inlineStr">
        <is>
          <t>English</t>
        </is>
      </c>
      <c r="I6" s="39" t="inlineStr">
        <is>
          <t>CAT 1</t>
        </is>
      </c>
      <c r="J6" s="50">
        <f>IFERROR(IF(G6="","",ROUNDDOWN(IF($G6="","",(inception_date-$G6)/365.25),0)),0)</f>
        <v/>
      </c>
      <c r="K6" s="37">
        <f>IF(I6="","",IF($AM$3=1,IFERROR(IF(J6=FALSE,"",VLOOKUP(J6,$AJ$1:$AK$18,2,1)),""),IFERROR(IF(J6 = "FALSE","",VLOOKUP(J6,#REF!,2,TRUE)),"")))</f>
        <v/>
      </c>
      <c r="L6" s="37" t="n"/>
      <c r="M6" s="37" t="n"/>
      <c r="N6" s="37" t="n"/>
      <c r="O6" s="41">
        <f>IF(C6="","",IF(R6=1,"Yes","No"))</f>
        <v/>
      </c>
      <c r="P6" s="51">
        <f>IFERROR(IF(C6="","",IF(AND(Census!C6="E",Census!J6&gt;=18,Census!J6&lt;=65),"Yes","No")),"ERROR")</f>
        <v/>
      </c>
      <c r="Q6" s="52">
        <f>IFERROR(IF(C6="","",IF(AND(Census!C6="E",Census!J6&gt;=18,Census!J6&lt;=64),"Yes","No")),"ERROR")</f>
        <v/>
      </c>
      <c r="R6" s="53">
        <f>IF(OR(AB6&lt;&gt;1,AC6&lt;&gt;1,AD6&lt;&gt;1,AF6&lt;&gt;1,AE6&lt;&gt;1,AG6&lt;&gt;1),-1,1)</f>
        <v/>
      </c>
      <c r="S6" s="54">
        <f>AB6</f>
        <v/>
      </c>
      <c r="T6" s="55">
        <f>AC6</f>
        <v/>
      </c>
      <c r="U6" s="55">
        <f>AD6</f>
        <v/>
      </c>
      <c r="V6" s="55">
        <f>AE6</f>
        <v/>
      </c>
      <c r="W6" s="55">
        <f>AF6</f>
        <v/>
      </c>
      <c r="X6" s="56">
        <f>AG6</f>
        <v/>
      </c>
      <c r="Y6" s="23" t="n"/>
      <c r="Z6" s="23" t="n"/>
      <c r="AA6" s="23" t="n"/>
      <c r="AB6">
        <f>IFERROR(IF(OR(B6=0,B6=""),0,1),0)</f>
        <v/>
      </c>
      <c r="AC6">
        <f>IFERROR(IF(OR(C6="S",C6="D"),IF(AND(C6="D",D6="F"),1,IF(AND(C6="S",D6="M"),1,0)),IF(OR(C6="W",C6="H"),IF(OR(AND(C6="W",D6="F"),AND(C6="H",D6="M")),1,),IF(OR(D6="M",D6="F"),1,0))),0)</f>
        <v/>
      </c>
      <c r="AD6">
        <f>IFERROR(IF(OR(C6="E",C6="W",C6="H"),1,IF(C6 = "S",IF(D6="M",1,0),IF(D6 = "F",1,0))),0)</f>
        <v/>
      </c>
      <c r="AE6">
        <f>IFERROR(IF(OR(E6="M",E6="S"),IF(E6="M",IF(OR(C6="S",C6 = "D"),0,1),IF(OR(C6="W",C6="H"),0,1)),0),0)</f>
        <v/>
      </c>
      <c r="AF6">
        <f>IF(G6="",-1,IF(AND(G6&lt;=TODAY(),ISNUMBER(DATE(YEAR(G6),MONTH(G6),DAY(G6)))),IF(AND(OR(C6="S",C6="D"),J6&gt;24),-1,1),-1))</f>
        <v/>
      </c>
      <c r="AG6">
        <f>IF(OR(I6="CAT 1",I6="CAT 2",I6="CAT 3",I6="CAT 4"),1,0)</f>
        <v/>
      </c>
      <c r="AH6">
        <f>PRODUCT(AF6:AG6)*AE6</f>
        <v/>
      </c>
      <c r="AJ6" s="13">
        <f>AJ5+5</f>
        <v/>
      </c>
      <c r="AK6" s="13" t="inlineStr">
        <is>
          <t>20-24</t>
        </is>
      </c>
      <c r="AM6" s="12" t="inlineStr">
        <is>
          <t>date min</t>
        </is>
      </c>
      <c r="AN6" s="1">
        <f>AN7-(99*365.25)</f>
        <v/>
      </c>
    </row>
    <row r="7" customFormat="1" s="12">
      <c r="A7" s="42" t="n">
        <v>6</v>
      </c>
      <c r="B7" s="43" t="inlineStr">
        <is>
          <t>Reshma</t>
        </is>
      </c>
      <c r="C7" s="44" t="inlineStr">
        <is>
          <t>E</t>
        </is>
      </c>
      <c r="D7" s="45" t="inlineStr">
        <is>
          <t>F</t>
        </is>
      </c>
      <c r="E7" s="67" t="inlineStr">
        <is>
          <t>M</t>
        </is>
      </c>
      <c r="F7" s="39" t="inlineStr">
        <is>
          <t>Employee Female – Married</t>
        </is>
      </c>
      <c r="G7" s="88" t="n">
        <v>27755</v>
      </c>
      <c r="H7" s="68" t="inlineStr">
        <is>
          <t>South African</t>
        </is>
      </c>
      <c r="I7" s="68" t="inlineStr">
        <is>
          <t>CAT 1</t>
        </is>
      </c>
      <c r="J7" s="69">
        <f>IFERROR(IF(G7="","",ROUNDDOWN(IF($G7="","",(inception_date-$G7)/365.25),0)),0)</f>
        <v/>
      </c>
      <c r="K7" s="42">
        <f>IF(I7="","",IF($AM$3=1,IFERROR(IF(J7=FALSE,"",VLOOKUP(J7,$AJ$1:$AK$18,2,1)),""),IFERROR(IF(J7 = "FALSE","",VLOOKUP(J7,#REF!,2,TRUE)),"")))</f>
        <v/>
      </c>
      <c r="L7" s="42" t="n"/>
      <c r="M7" s="42" t="n"/>
      <c r="N7" s="42" t="n"/>
      <c r="O7" s="46">
        <f>IF(C7="","",IF(R7=1,"Yes","No"))</f>
        <v/>
      </c>
      <c r="P7" s="57">
        <f>IFERROR(IF(C7="","",IF(AND(Census!C7="E",Census!J7&gt;=18,Census!J7&lt;=65),"Yes","No")),"ERROR")</f>
        <v/>
      </c>
      <c r="Q7" s="58">
        <f>IFERROR(IF(C7="","",IF(AND(Census!C7="E",Census!J7&gt;=18,Census!J7&lt;=64),"Yes","No")),"ERROR")</f>
        <v/>
      </c>
      <c r="R7" s="59">
        <f>IF(OR(AB7&lt;&gt;1,AC7&lt;&gt;1,AD7&lt;&gt;1,AF7&lt;&gt;1,AE7&lt;&gt;1,AG7&lt;&gt;1),-1,1)</f>
        <v/>
      </c>
      <c r="S7" s="60">
        <f>AB7</f>
        <v/>
      </c>
      <c r="T7" s="61">
        <f>AC7</f>
        <v/>
      </c>
      <c r="U7" s="61">
        <f>AD7</f>
        <v/>
      </c>
      <c r="V7" s="61">
        <f>AE7</f>
        <v/>
      </c>
      <c r="W7" s="61">
        <f>AF7</f>
        <v/>
      </c>
      <c r="X7" s="62">
        <f>AG7</f>
        <v/>
      </c>
      <c r="Y7" s="23" t="n"/>
      <c r="Z7" s="23" t="n"/>
      <c r="AA7" s="23" t="n"/>
      <c r="AB7">
        <f>IFERROR(IF(OR(B7=0,B7=""),0,1),0)</f>
        <v/>
      </c>
      <c r="AC7">
        <f>IFERROR(IF(OR(C7="S",C7="D"),IF(AND(C7="D",D7="F"),1,IF(AND(C7="S",D7="M"),1,0)),IF(OR(C7="W",C7="H"),IF(OR(AND(C7="W",D7="F"),AND(C7="H",D7="M")),1,),IF(OR(D7="M",D7="F"),1,0))),0)</f>
        <v/>
      </c>
      <c r="AD7">
        <f>IFERROR(IF(OR(C7="E",C7="W",C7="H"),1,IF(C7 = "S",IF(D7="M",1,0),IF(D7 = "F",1,0))),0)</f>
        <v/>
      </c>
      <c r="AE7">
        <f>IFERROR(IF(OR(E7="M",E7="S"),IF(E7="M",IF(OR(C7="S",C7 = "D"),0,1),IF(OR(C7="W",C7="H"),0,1)),0),0)</f>
        <v/>
      </c>
      <c r="AF7">
        <f>IF(G7="",-1,IF(AND(G7&lt;=TODAY(),ISNUMBER(DATE(YEAR(G7),MONTH(G7),DAY(G7)))),IF(AND(OR(C7="S",C7="D"),J7&gt;24),-1,1),-1))</f>
        <v/>
      </c>
      <c r="AG7">
        <f>IF(OR(I7="CAT 1",I7="CAT 2",I7="CAT 3",I7="CAT 4"),1,0)</f>
        <v/>
      </c>
      <c r="AH7">
        <f>PRODUCT(AF7:AG7)*AE7</f>
        <v/>
      </c>
      <c r="AJ7" s="13">
        <f>AJ6+5</f>
        <v/>
      </c>
      <c r="AK7" s="13" t="inlineStr">
        <is>
          <t>25-29</t>
        </is>
      </c>
      <c r="AM7" s="12" t="inlineStr">
        <is>
          <t>date max</t>
        </is>
      </c>
      <c r="AN7" s="1">
        <f>TODAY()</f>
        <v/>
      </c>
    </row>
    <row r="8" customFormat="1" s="12">
      <c r="A8" s="37" t="n">
        <v>7</v>
      </c>
      <c r="B8" s="38" t="inlineStr">
        <is>
          <t xml:space="preserve">Euan </t>
        </is>
      </c>
      <c r="C8" s="39" t="inlineStr">
        <is>
          <t>E</t>
        </is>
      </c>
      <c r="D8" s="40" t="inlineStr">
        <is>
          <t>M</t>
        </is>
      </c>
      <c r="E8" s="40" t="inlineStr">
        <is>
          <t>S</t>
        </is>
      </c>
      <c r="F8" s="39" t="inlineStr">
        <is>
          <t>Employee Male – Single</t>
        </is>
      </c>
      <c r="G8" s="86" t="n">
        <v>35078</v>
      </c>
      <c r="H8" s="39" t="inlineStr">
        <is>
          <t>English</t>
        </is>
      </c>
      <c r="I8" s="39" t="inlineStr">
        <is>
          <t>CAT 1</t>
        </is>
      </c>
      <c r="J8" s="50">
        <f>IFERROR(IF(G8="","",ROUNDDOWN(IF($G8="","",(inception_date-$G8)/365.25),0)),0)</f>
        <v/>
      </c>
      <c r="K8" s="37">
        <f>IF(I8="","",IF($AM$3=1,IFERROR(IF(J8=FALSE,"",VLOOKUP(J8,$AJ$1:$AK$18,2,1)),""),IFERROR(IF(J8 = "FALSE","",VLOOKUP(J8,#REF!,2,TRUE)),"")))</f>
        <v/>
      </c>
      <c r="L8" s="37" t="n"/>
      <c r="M8" s="37" t="n"/>
      <c r="N8" s="37" t="n"/>
      <c r="O8" s="41">
        <f>IF(C8="","",IF(R8=1,"Yes","No"))</f>
        <v/>
      </c>
      <c r="P8" s="51">
        <f>IFERROR(IF(C8="","",IF(AND(Census!C8="E",Census!J8&gt;=18,Census!J8&lt;=65),"Yes","No")),"ERROR")</f>
        <v/>
      </c>
      <c r="Q8" s="52">
        <f>IFERROR(IF(C8="","",IF(AND(Census!C8="E",Census!J8&gt;=18,Census!J8&lt;=64),"Yes","No")),"ERROR")</f>
        <v/>
      </c>
      <c r="R8" s="53">
        <f>IF(OR(AB8&lt;&gt;1,AC8&lt;&gt;1,AD8&lt;&gt;1,AF8&lt;&gt;1,AE8&lt;&gt;1,AG8&lt;&gt;1),-1,1)</f>
        <v/>
      </c>
      <c r="S8" s="54">
        <f>AB8</f>
        <v/>
      </c>
      <c r="T8" s="55">
        <f>AC8</f>
        <v/>
      </c>
      <c r="U8" s="55">
        <f>AD8</f>
        <v/>
      </c>
      <c r="V8" s="55">
        <f>AE8</f>
        <v/>
      </c>
      <c r="W8" s="55">
        <f>AF8</f>
        <v/>
      </c>
      <c r="X8" s="56">
        <f>AG8</f>
        <v/>
      </c>
      <c r="Y8" s="23" t="n"/>
      <c r="Z8" s="23" t="n"/>
      <c r="AA8" s="23" t="n"/>
      <c r="AB8">
        <f>IFERROR(IF(OR(B8=0,B8=""),0,1),0)</f>
        <v/>
      </c>
      <c r="AC8">
        <f>IFERROR(IF(OR(C8="S",C8="D"),IF(AND(C8="D",D8="F"),1,IF(AND(C8="S",D8="M"),1,0)),IF(OR(C8="W",C8="H"),IF(OR(AND(C8="W",D8="F"),AND(C8="H",D8="M")),1,),IF(OR(D8="M",D8="F"),1,0))),0)</f>
        <v/>
      </c>
      <c r="AD8">
        <f>IFERROR(IF(OR(C8="E",C8="W",C8="H"),1,IF(C8 = "S",IF(D8="M",1,0),IF(D8 = "F",1,0))),0)</f>
        <v/>
      </c>
      <c r="AE8">
        <f>IFERROR(IF(OR(E8="M",E8="S"),IF(E8="M",IF(OR(C8="S",C8 = "D"),0,1),IF(OR(C8="W",C8="H"),0,1)),0),0)</f>
        <v/>
      </c>
      <c r="AF8">
        <f>IF(G8="",-1,IF(AND(G8&lt;=TODAY(),ISNUMBER(DATE(YEAR(G8),MONTH(G8),DAY(G8)))),IF(AND(OR(C8="S",C8="D"),J8&gt;24),-1,1),-1))</f>
        <v/>
      </c>
      <c r="AG8">
        <f>IF(OR(I8="CAT 1",I8="CAT 2",I8="CAT 3",I8="CAT 4"),1,0)</f>
        <v/>
      </c>
      <c r="AH8">
        <f>PRODUCT(AF8:AG8)*AE8</f>
        <v/>
      </c>
      <c r="AJ8" s="13">
        <f>AJ7+5</f>
        <v/>
      </c>
      <c r="AK8" s="13" t="inlineStr">
        <is>
          <t>30-34</t>
        </is>
      </c>
    </row>
    <row r="9" customFormat="1" s="12">
      <c r="A9" s="42" t="n">
        <v>8</v>
      </c>
      <c r="B9" s="43" t="inlineStr">
        <is>
          <t xml:space="preserve">Nour </t>
        </is>
      </c>
      <c r="C9" s="44" t="inlineStr">
        <is>
          <t>E</t>
        </is>
      </c>
      <c r="D9" s="45" t="inlineStr">
        <is>
          <t>F</t>
        </is>
      </c>
      <c r="E9" s="45" t="inlineStr">
        <is>
          <t>S</t>
        </is>
      </c>
      <c r="F9" s="39" t="inlineStr">
        <is>
          <t>Employee Female – Single</t>
        </is>
      </c>
      <c r="G9" s="88" t="n">
        <v>37235</v>
      </c>
      <c r="H9" s="68" t="inlineStr">
        <is>
          <t>Egyptian</t>
        </is>
      </c>
      <c r="I9" s="68" t="inlineStr">
        <is>
          <t>CAT 1</t>
        </is>
      </c>
      <c r="J9" s="69">
        <f>IFERROR(IF(G9="","",ROUNDDOWN(IF($G9="","",(inception_date-$G9)/365.25),0)),0)</f>
        <v/>
      </c>
      <c r="K9" s="42">
        <f>IF(I9="","",IF($AM$3=1,IFERROR(IF(J9=FALSE,"",VLOOKUP(J9,$AJ$1:$AK$18,2,1)),""),IFERROR(IF(J9 = "FALSE","",VLOOKUP(J9,#REF!,2,TRUE)),"")))</f>
        <v/>
      </c>
      <c r="L9" s="42" t="n"/>
      <c r="M9" s="42" t="n"/>
      <c r="N9" s="42" t="n"/>
      <c r="O9" s="46">
        <f>IF(C9="","",IF(R9=1,"Yes","No"))</f>
        <v/>
      </c>
      <c r="P9" s="57">
        <f>IFERROR(IF(C9="","",IF(AND(Census!C9="E",Census!J9&gt;=18,Census!J9&lt;=65),"Yes","No")),"ERROR")</f>
        <v/>
      </c>
      <c r="Q9" s="58">
        <f>IFERROR(IF(C9="","",IF(AND(Census!C9="E",Census!J9&gt;=18,Census!J9&lt;=64),"Yes","No")),"ERROR")</f>
        <v/>
      </c>
      <c r="R9" s="59">
        <f>IF(OR(AB9&lt;&gt;1,AC9&lt;&gt;1,AD9&lt;&gt;1,AF9&lt;&gt;1,AE9&lt;&gt;1,AG9&lt;&gt;1),-1,1)</f>
        <v/>
      </c>
      <c r="S9" s="60">
        <f>AB9</f>
        <v/>
      </c>
      <c r="T9" s="61">
        <f>AC9</f>
        <v/>
      </c>
      <c r="U9" s="61">
        <f>AD9</f>
        <v/>
      </c>
      <c r="V9" s="61">
        <f>AE9</f>
        <v/>
      </c>
      <c r="W9" s="61">
        <f>AF9</f>
        <v/>
      </c>
      <c r="X9" s="62">
        <f>AG9</f>
        <v/>
      </c>
      <c r="Y9" s="23" t="n"/>
      <c r="Z9" s="23" t="n"/>
      <c r="AA9" s="23" t="n"/>
      <c r="AB9">
        <f>IFERROR(IF(OR(B9=0,B9=""),0,1),0)</f>
        <v/>
      </c>
      <c r="AC9">
        <f>IFERROR(IF(OR(C9="S",C9="D"),IF(AND(C9="D",D9="F"),1,IF(AND(C9="S",D9="M"),1,0)),IF(OR(C9="W",C9="H"),IF(OR(AND(C9="W",D9="F"),AND(C9="H",D9="M")),1,),IF(OR(D9="M",D9="F"),1,0))),0)</f>
        <v/>
      </c>
      <c r="AD9">
        <f>IFERROR(IF(OR(C9="E",C9="W",C9="H"),1,IF(C9 = "S",IF(D9="M",1,0),IF(D9 = "F",1,0))),0)</f>
        <v/>
      </c>
      <c r="AE9">
        <f>IFERROR(IF(OR(E9="M",E9="S"),IF(E9="M",IF(OR(C9="S",C9 = "D"),0,1),IF(OR(C9="W",C9="H"),0,1)),0),0)</f>
        <v/>
      </c>
      <c r="AF9">
        <f>IF(G9="",-1,IF(AND(G9&lt;=TODAY(),ISNUMBER(DATE(YEAR(G9),MONTH(G9),DAY(G9)))),IF(AND(OR(C9="S",C9="D"),J9&gt;24),-1,1),-1))</f>
        <v/>
      </c>
      <c r="AG9">
        <f>IF(OR(I9="CAT 1",I9="CAT 2",I9="CAT 3",I9="CAT 4"),1,0)</f>
        <v/>
      </c>
      <c r="AH9">
        <f>PRODUCT(AF9:AG9)*AE9</f>
        <v/>
      </c>
      <c r="AJ9" s="13">
        <f>AJ8+5</f>
        <v/>
      </c>
      <c r="AK9" s="13" t="inlineStr">
        <is>
          <t>35-39</t>
        </is>
      </c>
      <c r="AN9" s="1" t="n"/>
    </row>
    <row r="10" customFormat="1" s="12">
      <c r="A10" s="37" t="n">
        <v>9</v>
      </c>
      <c r="B10" s="38" t="inlineStr">
        <is>
          <t xml:space="preserve">Dhivya </t>
        </is>
      </c>
      <c r="C10" s="39" t="inlineStr">
        <is>
          <t>E</t>
        </is>
      </c>
      <c r="D10" s="40" t="inlineStr">
        <is>
          <t>F</t>
        </is>
      </c>
      <c r="E10" s="40" t="inlineStr">
        <is>
          <t>M</t>
        </is>
      </c>
      <c r="F10" s="39" t="inlineStr">
        <is>
          <t>Employee Female – Married</t>
        </is>
      </c>
      <c r="G10" s="86" t="n">
        <v>29594</v>
      </c>
      <c r="H10" s="39" t="inlineStr">
        <is>
          <t>Indian</t>
        </is>
      </c>
      <c r="I10" s="39" t="inlineStr">
        <is>
          <t>CAT 1</t>
        </is>
      </c>
      <c r="J10" s="50">
        <f>IFERROR(IF(G10="","",ROUNDDOWN(IF($G10="","",(inception_date-$G10)/365.25),0)),0)</f>
        <v/>
      </c>
      <c r="K10" s="37">
        <f>IF(I10="","",IF($AM$3=1,IFERROR(IF(J10=FALSE,"",VLOOKUP(J10,$AJ$1:$AK$18,2,1)),""),IFERROR(IF(J10 = "FALSE","",VLOOKUP(J10,#REF!,2,TRUE)),"")))</f>
        <v/>
      </c>
      <c r="L10" s="37" t="n"/>
      <c r="M10" s="37" t="n"/>
      <c r="N10" s="37" t="n"/>
      <c r="O10" s="41">
        <f>IF(C10="","",IF(R10=1,"Yes","No"))</f>
        <v/>
      </c>
      <c r="P10" s="51">
        <f>IFERROR(IF(C10="","",IF(AND(Census!C10="E",Census!J10&gt;=18,Census!J10&lt;=65),"Yes","No")),"ERROR")</f>
        <v/>
      </c>
      <c r="Q10" s="52">
        <f>IFERROR(IF(C10="","",IF(AND(Census!C10="E",Census!J10&gt;=18,Census!J10&lt;=64),"Yes","No")),"ERROR")</f>
        <v/>
      </c>
      <c r="R10" s="53">
        <f>IF(OR(AB10&lt;&gt;1,AC10&lt;&gt;1,AD10&lt;&gt;1,AF10&lt;&gt;1,AE10&lt;&gt;1,AG10&lt;&gt;1),-1,1)</f>
        <v/>
      </c>
      <c r="S10" s="54">
        <f>AB10</f>
        <v/>
      </c>
      <c r="T10" s="55">
        <f>AC10</f>
        <v/>
      </c>
      <c r="U10" s="55">
        <f>AD10</f>
        <v/>
      </c>
      <c r="V10" s="55">
        <f>AE10</f>
        <v/>
      </c>
      <c r="W10" s="55">
        <f>AF10</f>
        <v/>
      </c>
      <c r="X10" s="56">
        <f>AG10</f>
        <v/>
      </c>
      <c r="Y10" s="23" t="n"/>
      <c r="Z10" s="49" t="n"/>
      <c r="AA10" s="23" t="n"/>
      <c r="AB10">
        <f>IFERROR(IF(OR(B10=0,B10=""),0,1),0)</f>
        <v/>
      </c>
      <c r="AC10">
        <f>IFERROR(IF(OR(C10="S",C10="D"),IF(AND(C10="D",D10="F"),1,IF(AND(C10="S",D10="M"),1,0)),IF(OR(C10="W",C10="H"),IF(OR(AND(C10="W",D10="F"),AND(C10="H",D10="M")),1,),IF(OR(D10="M",D10="F"),1,0))),0)</f>
        <v/>
      </c>
      <c r="AD10">
        <f>IFERROR(IF(OR(C10="E",C10="W",C10="H"),1,IF(C10 = "S",IF(D10="M",1,0),IF(D10 = "F",1,0))),0)</f>
        <v/>
      </c>
      <c r="AE10">
        <f>IFERROR(IF(OR(E10="M",E10="S"),IF(E10="M",IF(OR(C10="S",C10 = "D"),0,1),IF(OR(C10="W",C10="H"),0,1)),0),0)</f>
        <v/>
      </c>
      <c r="AF10">
        <f>IF(G10="",-1,IF(AND(G10&lt;=TODAY(),ISNUMBER(DATE(YEAR(G10),MONTH(G10),DAY(G10)))),IF(AND(OR(C10="S",C10="D"),J10&gt;24),-1,1),-1))</f>
        <v/>
      </c>
      <c r="AG10">
        <f>IF(OR(I10="CAT 1",I10="CAT 2",I10="CAT 3",I10="CAT 4"),1,0)</f>
        <v/>
      </c>
      <c r="AH10">
        <f>PRODUCT(AF10:AG10)*AE10</f>
        <v/>
      </c>
      <c r="AJ10" s="13">
        <f>AJ9+5</f>
        <v/>
      </c>
      <c r="AK10" s="13" t="inlineStr">
        <is>
          <t>40-44</t>
        </is>
      </c>
    </row>
    <row r="11" customFormat="1" s="12">
      <c r="A11" s="42" t="n">
        <v>10</v>
      </c>
      <c r="B11" s="43" t="inlineStr">
        <is>
          <t>Rehan</t>
        </is>
      </c>
      <c r="C11" s="44" t="inlineStr">
        <is>
          <t>S</t>
        </is>
      </c>
      <c r="D11" s="45" t="inlineStr">
        <is>
          <t>M</t>
        </is>
      </c>
      <c r="E11" s="45" t="inlineStr">
        <is>
          <t>S</t>
        </is>
      </c>
      <c r="F11" s="39" t="inlineStr">
        <is>
          <t>Child Male – Single</t>
        </is>
      </c>
      <c r="G11" s="88" t="n">
        <v>45187</v>
      </c>
      <c r="H11" s="68" t="inlineStr">
        <is>
          <t>Indian</t>
        </is>
      </c>
      <c r="I11" s="68" t="inlineStr">
        <is>
          <t>CAT 1</t>
        </is>
      </c>
      <c r="J11" s="69">
        <f>IFERROR(IF(G11="","",ROUNDDOWN(IF($G11="","",(inception_date-$G11)/365.25),0)),0)</f>
        <v/>
      </c>
      <c r="K11" s="42">
        <f>IF(I11="","",IF($AM$3=1,IFERROR(IF(J11=FALSE,"",VLOOKUP(J11,$AJ$1:$AK$18,2,1)),""),IFERROR(IF(J11 = "FALSE","",VLOOKUP(J11,#REF!,2,TRUE)),"")))</f>
        <v/>
      </c>
      <c r="L11" s="42" t="n"/>
      <c r="M11" s="42" t="n"/>
      <c r="N11" s="42" t="n"/>
      <c r="O11" s="46">
        <f>IF(C11="","",IF(R11=1,"Yes","No"))</f>
        <v/>
      </c>
      <c r="P11" s="57">
        <f>IFERROR(IF(C11="","",IF(AND(Census!C11="E",Census!J11&gt;=18,Census!J11&lt;=65),"Yes","No")),"ERROR")</f>
        <v/>
      </c>
      <c r="Q11" s="58">
        <f>IFERROR(IF(C11="","",IF(AND(Census!C11="E",Census!J11&gt;=18,Census!J11&lt;=64),"Yes","No")),"ERROR")</f>
        <v/>
      </c>
      <c r="R11" s="59">
        <f>IF(OR(AB11&lt;&gt;1,AC11&lt;&gt;1,AD11&lt;&gt;1,AF11&lt;&gt;1,AE11&lt;&gt;1,AG11&lt;&gt;1),-1,1)</f>
        <v/>
      </c>
      <c r="S11" s="60">
        <f>AB11</f>
        <v/>
      </c>
      <c r="T11" s="61">
        <f>AC11</f>
        <v/>
      </c>
      <c r="U11" s="61">
        <f>AD11</f>
        <v/>
      </c>
      <c r="V11" s="61">
        <f>AE11</f>
        <v/>
      </c>
      <c r="W11" s="61">
        <f>AF11</f>
        <v/>
      </c>
      <c r="X11" s="62">
        <f>AG11</f>
        <v/>
      </c>
      <c r="Y11" s="23" t="n"/>
      <c r="Z11" s="49" t="n"/>
      <c r="AA11" s="23" t="n"/>
      <c r="AB11">
        <f>IFERROR(IF(OR(B11=0,B11=""),0,1),0)</f>
        <v/>
      </c>
      <c r="AC11">
        <f>IFERROR(IF(OR(C11="S",C11="D"),IF(AND(C11="D",D11="F"),1,IF(AND(C11="S",D11="M"),1,0)),IF(OR(C11="W",C11="H"),IF(OR(AND(C11="W",D11="F"),AND(C11="H",D11="M")),1,),IF(OR(D11="M",D11="F"),1,0))),0)</f>
        <v/>
      </c>
      <c r="AD11">
        <f>IFERROR(IF(OR(C11="E",C11="W",C11="H"),1,IF(C11 = "S",IF(D11="M",1,0),IF(D11 = "F",1,0))),0)</f>
        <v/>
      </c>
      <c r="AE11">
        <f>IFERROR(IF(OR(E11="M",E11="S"),IF(E11="M",IF(OR(C11="S",C11 = "D"),0,1),IF(OR(C11="W",C11="H"),0,1)),0),0)</f>
        <v/>
      </c>
      <c r="AF11">
        <f>IF(G11="",-1,IF(AND(G11&lt;=TODAY(),ISNUMBER(DATE(YEAR(G11),MONTH(G11),DAY(G11)))),IF(AND(OR(C11="S",C11="D"),J11&gt;24),-1,1),-1))</f>
        <v/>
      </c>
      <c r="AG11">
        <f>IF(OR(I11="CAT 1",I11="CAT 2",I11="CAT 3",I11="CAT 4"),1,0)</f>
        <v/>
      </c>
      <c r="AH11">
        <f>PRODUCT(AF11:AG11)*AE11</f>
        <v/>
      </c>
      <c r="AJ11" s="13">
        <f>AJ10+5</f>
        <v/>
      </c>
      <c r="AK11" s="13" t="inlineStr">
        <is>
          <t>45-49</t>
        </is>
      </c>
    </row>
    <row r="12" customFormat="1" s="12">
      <c r="A12" s="37" t="n">
        <v>11</v>
      </c>
      <c r="B12" s="38" t="inlineStr">
        <is>
          <t>Samar</t>
        </is>
      </c>
      <c r="C12" s="39" t="inlineStr">
        <is>
          <t>S</t>
        </is>
      </c>
      <c r="D12" s="40" t="inlineStr">
        <is>
          <t>M</t>
        </is>
      </c>
      <c r="E12" s="40" t="inlineStr">
        <is>
          <t>S</t>
        </is>
      </c>
      <c r="F12" s="39" t="inlineStr">
        <is>
          <t>Child Male – Single</t>
        </is>
      </c>
      <c r="G12" s="86" t="n">
        <v>45187</v>
      </c>
      <c r="H12" s="39" t="inlineStr">
        <is>
          <t>Indian</t>
        </is>
      </c>
      <c r="I12" s="39" t="inlineStr">
        <is>
          <t>CAT 1</t>
        </is>
      </c>
      <c r="J12" s="50">
        <f>IFERROR(IF(G12="","",ROUNDDOWN(IF($G12="","",(inception_date-$G12)/365.25),0)),0)</f>
        <v/>
      </c>
      <c r="K12" s="37">
        <f>IF(I12="","",IF($AM$3=1,IFERROR(IF(J12=FALSE,"",VLOOKUP(J12,$AJ$1:$AK$18,2,1)),""),IFERROR(IF(J12 = "FALSE","",VLOOKUP(J12,#REF!,2,TRUE)),"")))</f>
        <v/>
      </c>
      <c r="L12" s="37" t="n"/>
      <c r="M12" s="37" t="n"/>
      <c r="N12" s="37" t="n"/>
      <c r="O12" s="41">
        <f>IF(C12="","",IF(R12=1,"Yes","No"))</f>
        <v/>
      </c>
      <c r="P12" s="51">
        <f>IFERROR(IF(C12="","",IF(AND(Census!C12="E",Census!J12&gt;=18,Census!J12&lt;=65),"Yes","No")),"ERROR")</f>
        <v/>
      </c>
      <c r="Q12" s="52">
        <f>IFERROR(IF(C12="","",IF(AND(Census!C12="E",Census!J12&gt;=18,Census!J12&lt;=64),"Yes","No")),"ERROR")</f>
        <v/>
      </c>
      <c r="R12" s="53">
        <f>IF(OR(AB12&lt;&gt;1,AC12&lt;&gt;1,AD12&lt;&gt;1,AF12&lt;&gt;1,AE12&lt;&gt;1,AG12&lt;&gt;1),-1,1)</f>
        <v/>
      </c>
      <c r="S12" s="54">
        <f>AB12</f>
        <v/>
      </c>
      <c r="T12" s="55">
        <f>AC12</f>
        <v/>
      </c>
      <c r="U12" s="55">
        <f>AD12</f>
        <v/>
      </c>
      <c r="V12" s="55">
        <f>AE12</f>
        <v/>
      </c>
      <c r="W12" s="55">
        <f>AF12</f>
        <v/>
      </c>
      <c r="X12" s="56">
        <f>AG12</f>
        <v/>
      </c>
      <c r="Y12" s="23" t="n"/>
      <c r="Z12" s="23" t="n"/>
      <c r="AA12" s="23" t="n"/>
      <c r="AB12">
        <f>IFERROR(IF(OR(B12=0,B12=""),0,1),0)</f>
        <v/>
      </c>
      <c r="AC12">
        <f>IFERROR(IF(OR(C12="S",C12="D"),IF(AND(C12="D",D12="F"),1,IF(AND(C12="S",D12="M"),1,0)),IF(OR(C12="W",C12="H"),IF(OR(AND(C12="W",D12="F"),AND(C12="H",D12="M")),1,),IF(OR(D12="M",D12="F"),1,0))),0)</f>
        <v/>
      </c>
      <c r="AD12">
        <f>IFERROR(IF(OR(C12="E",C12="W",C12="H"),1,IF(C12 = "S",IF(D12="M",1,0),IF(D12 = "F",1,0))),0)</f>
        <v/>
      </c>
      <c r="AE12">
        <f>IFERROR(IF(OR(E12="M",E12="S"),IF(E12="M",IF(OR(C12="S",C12 = "D"),0,1),IF(OR(C12="W",C12="H"),0,1)),0),0)</f>
        <v/>
      </c>
      <c r="AF12">
        <f>IF(G12="",-1,IF(AND(G12&lt;=TODAY(),ISNUMBER(DATE(YEAR(G12),MONTH(G12),DAY(G12)))),IF(AND(OR(C12="S",C12="D"),J12&gt;24),-1,1),-1))</f>
        <v/>
      </c>
      <c r="AG12">
        <f>IF(OR(I12="CAT 1",I12="CAT 2",I12="CAT 3",I12="CAT 4"),1,0)</f>
        <v/>
      </c>
      <c r="AH12">
        <f>PRODUCT(AF12:AG12)*AE12</f>
        <v/>
      </c>
      <c r="AJ12" s="13">
        <f>AJ11+5</f>
        <v/>
      </c>
      <c r="AK12" s="13" t="inlineStr">
        <is>
          <t>50-54</t>
        </is>
      </c>
    </row>
    <row r="13" customFormat="1" s="12">
      <c r="A13" s="42" t="n">
        <v>12</v>
      </c>
      <c r="B13" s="43" t="inlineStr">
        <is>
          <t xml:space="preserve">Jeremiah </t>
        </is>
      </c>
      <c r="C13" s="44" t="inlineStr">
        <is>
          <t>E</t>
        </is>
      </c>
      <c r="D13" s="45" t="inlineStr">
        <is>
          <t>F</t>
        </is>
      </c>
      <c r="E13" s="45" t="inlineStr">
        <is>
          <t>S</t>
        </is>
      </c>
      <c r="F13" s="39" t="inlineStr">
        <is>
          <t>Employee Female – Single</t>
        </is>
      </c>
      <c r="G13" s="88" t="n">
        <v>33621</v>
      </c>
      <c r="H13" s="68" t="inlineStr">
        <is>
          <t>Philippine</t>
        </is>
      </c>
      <c r="I13" s="68" t="inlineStr">
        <is>
          <t>CAT 1</t>
        </is>
      </c>
      <c r="J13" s="69">
        <f>IFERROR(IF(G13="","",ROUNDDOWN(IF($G13="","",(inception_date-$G13)/365.25),0)),0)</f>
        <v/>
      </c>
      <c r="K13" s="42">
        <f>IF(I13="","",IF($AM$3=1,IFERROR(IF(J13=FALSE,"",VLOOKUP(J13,$AJ$1:$AK$18,2,1)),""),IFERROR(IF(J13 = "FALSE","",VLOOKUP(J13,#REF!,2,TRUE)),"")))</f>
        <v/>
      </c>
      <c r="L13" s="42" t="n"/>
      <c r="M13" s="42" t="n"/>
      <c r="N13" s="42" t="n"/>
      <c r="O13" s="46">
        <f>IF(C13="","",IF(R13=1,"Yes","No"))</f>
        <v/>
      </c>
      <c r="P13" s="57">
        <f>IFERROR(IF(C13="","",IF(AND(Census!C13="E",Census!J13&gt;=18,Census!J13&lt;=65),"Yes","No")),"ERROR")</f>
        <v/>
      </c>
      <c r="Q13" s="58">
        <f>IFERROR(IF(C13="","",IF(AND(Census!C13="E",Census!J13&gt;=18,Census!J13&lt;=64),"Yes","No")),"ERROR")</f>
        <v/>
      </c>
      <c r="R13" s="59">
        <f>IF(OR(AB13&lt;&gt;1,AC13&lt;&gt;1,AD13&lt;&gt;1,AF13&lt;&gt;1,AE13&lt;&gt;1,AG13&lt;&gt;1),-1,1)</f>
        <v/>
      </c>
      <c r="S13" s="60">
        <f>AB13</f>
        <v/>
      </c>
      <c r="T13" s="61">
        <f>AC13</f>
        <v/>
      </c>
      <c r="U13" s="61">
        <f>AD13</f>
        <v/>
      </c>
      <c r="V13" s="61">
        <f>AE13</f>
        <v/>
      </c>
      <c r="W13" s="61">
        <f>AF13</f>
        <v/>
      </c>
      <c r="X13" s="62">
        <f>AG13</f>
        <v/>
      </c>
      <c r="Y13" s="23" t="n"/>
      <c r="Z13" s="23" t="n"/>
      <c r="AA13" s="23" t="n"/>
      <c r="AB13">
        <f>IFERROR(IF(OR(B13=0,B13=""),0,1),0)</f>
        <v/>
      </c>
      <c r="AC13">
        <f>IFERROR(IF(OR(C13="S",C13="D"),IF(AND(C13="D",D13="F"),1,IF(AND(C13="S",D13="M"),1,0)),IF(OR(C13="W",C13="H"),IF(OR(AND(C13="W",D13="F"),AND(C13="H",D13="M")),1,),IF(OR(D13="M",D13="F"),1,0))),0)</f>
        <v/>
      </c>
      <c r="AD13">
        <f>IFERROR(IF(OR(C13="E",C13="W",C13="H"),1,IF(C13 = "S",IF(D13="M",1,0),IF(D13 = "F",1,0))),0)</f>
        <v/>
      </c>
      <c r="AE13">
        <f>IFERROR(IF(OR(E13="M",E13="S"),IF(E13="M",IF(OR(C13="S",C13 = "D"),0,1),IF(OR(C13="W",C13="H"),0,1)),0),0)</f>
        <v/>
      </c>
      <c r="AF13">
        <f>IF(G13="",-1,IF(AND(G13&lt;=TODAY(),ISNUMBER(DATE(YEAR(G13),MONTH(G13),DAY(G13)))),IF(AND(OR(C13="S",C13="D"),J13&gt;24),-1,1),-1))</f>
        <v/>
      </c>
      <c r="AG13">
        <f>IF(OR(I13="CAT 1",I13="CAT 2",I13="CAT 3",I13="CAT 4"),1,0)</f>
        <v/>
      </c>
      <c r="AH13">
        <f>PRODUCT(AF13:AG13)*AE13</f>
        <v/>
      </c>
      <c r="AJ13" s="13">
        <f>AJ12+5</f>
        <v/>
      </c>
      <c r="AK13" s="13" t="inlineStr">
        <is>
          <t>55-59</t>
        </is>
      </c>
    </row>
    <row r="14" customFormat="1" s="12">
      <c r="A14" s="37" t="n">
        <v>13</v>
      </c>
      <c r="B14" s="38" t="inlineStr">
        <is>
          <t>Alex</t>
        </is>
      </c>
      <c r="C14" s="39" t="inlineStr">
        <is>
          <t>E</t>
        </is>
      </c>
      <c r="D14" s="40" t="inlineStr">
        <is>
          <t>M</t>
        </is>
      </c>
      <c r="E14" s="40" t="inlineStr">
        <is>
          <t>M</t>
        </is>
      </c>
      <c r="F14" s="39" t="inlineStr">
        <is>
          <t>Employee Male – Married</t>
        </is>
      </c>
      <c r="G14" s="86" t="n">
        <v>28866</v>
      </c>
      <c r="H14" s="39" t="inlineStr">
        <is>
          <t>English</t>
        </is>
      </c>
      <c r="I14" s="39" t="inlineStr">
        <is>
          <t>CAT 1</t>
        </is>
      </c>
      <c r="J14" s="50">
        <f>IFERROR(IF(G14="","",ROUNDDOWN(IF($G14="","",(inception_date-$G14)/365.25),0)),0)</f>
        <v/>
      </c>
      <c r="K14" s="37">
        <f>IF(I14="","",IF($AM$3=1,IFERROR(IF(J14=FALSE,"",VLOOKUP(J14,$AJ$1:$AK$18,2,1)),""),IFERROR(IF(J14 = "FALSE","",VLOOKUP(J14,#REF!,2,TRUE)),"")))</f>
        <v/>
      </c>
      <c r="L14" s="37" t="n"/>
      <c r="M14" s="37" t="n"/>
      <c r="N14" s="37" t="n"/>
      <c r="O14" s="41">
        <f>IF(C14="","",IF(R14=1,"Yes","No"))</f>
        <v/>
      </c>
      <c r="P14" s="51">
        <f>IFERROR(IF(C14="","",IF(AND(Census!C14="E",Census!J14&gt;=18,Census!J14&lt;=65),"Yes","No")),"ERROR")</f>
        <v/>
      </c>
      <c r="Q14" s="52">
        <f>IFERROR(IF(C14="","",IF(AND(Census!C14="E",Census!J14&gt;=18,Census!J14&lt;=64),"Yes","No")),"ERROR")</f>
        <v/>
      </c>
      <c r="R14" s="53">
        <f>IF(OR(AB14&lt;&gt;1,AC14&lt;&gt;1,AD14&lt;&gt;1,AF14&lt;&gt;1,AE14&lt;&gt;1,AG14&lt;&gt;1),-1,1)</f>
        <v/>
      </c>
      <c r="S14" s="54">
        <f>AB14</f>
        <v/>
      </c>
      <c r="T14" s="55">
        <f>AC14</f>
        <v/>
      </c>
      <c r="U14" s="55">
        <f>AD14</f>
        <v/>
      </c>
      <c r="V14" s="55">
        <f>AE14</f>
        <v/>
      </c>
      <c r="W14" s="55">
        <f>AF14</f>
        <v/>
      </c>
      <c r="X14" s="56">
        <f>AG14</f>
        <v/>
      </c>
      <c r="Y14" s="23" t="n"/>
      <c r="Z14" s="23" t="n"/>
      <c r="AA14" s="23" t="n"/>
      <c r="AB14">
        <f>IFERROR(IF(OR(B14=0,B14=""),0,1),0)</f>
        <v/>
      </c>
      <c r="AC14">
        <f>IFERROR(IF(OR(C14="S",C14="D"),IF(AND(C14="D",D14="F"),1,IF(AND(C14="S",D14="M"),1,0)),IF(OR(C14="W",C14="H"),IF(OR(AND(C14="W",D14="F"),AND(C14="H",D14="M")),1,),IF(OR(D14="M",D14="F"),1,0))),0)</f>
        <v/>
      </c>
      <c r="AD14">
        <f>IFERROR(IF(OR(C14="E",C14="W",C14="H"),1,IF(C14 = "S",IF(D14="M",1,0),IF(D14 = "F",1,0))),0)</f>
        <v/>
      </c>
      <c r="AE14">
        <f>IFERROR(IF(OR(E14="M",E14="S"),IF(E14="M",IF(OR(C14="S",C14 = "D"),0,1),IF(OR(C14="W",C14="H"),0,1)),0),0)</f>
        <v/>
      </c>
      <c r="AF14">
        <f>IF(G14="",-1,IF(AND(G14&lt;=TODAY(),ISNUMBER(DATE(YEAR(G14),MONTH(G14),DAY(G14)))),IF(AND(OR(C14="S",C14="D"),J14&gt;24),-1,1),-1))</f>
        <v/>
      </c>
      <c r="AG14">
        <f>IF(OR(I14="CAT 1",I14="CAT 2",I14="CAT 3",I14="CAT 4"),1,0)</f>
        <v/>
      </c>
      <c r="AH14">
        <f>PRODUCT(AF14:AG14)*AE14</f>
        <v/>
      </c>
      <c r="AJ14" s="13">
        <f>AJ13+5</f>
        <v/>
      </c>
      <c r="AK14" s="13" t="inlineStr">
        <is>
          <t>60-64</t>
        </is>
      </c>
    </row>
    <row r="15" customFormat="1" s="12">
      <c r="A15" s="42" t="n">
        <v>14</v>
      </c>
      <c r="B15" s="43" t="n"/>
      <c r="C15" s="44" t="n"/>
      <c r="D15" s="45" t="n"/>
      <c r="E15" s="45" t="n"/>
      <c r="F15" s="39" t="n"/>
      <c r="G15" s="66" t="n"/>
      <c r="H15" s="68" t="n"/>
      <c r="I15" s="68" t="n"/>
      <c r="J15" s="69">
        <f>IFERROR(IF(G15="","",ROUNDDOWN(IF($G15="","",(inception_date-$G15)/365.25),0)),0)</f>
        <v/>
      </c>
      <c r="K15" s="42">
        <f>IF(I15="","",IF($AM$3=1,IFERROR(IF(J15=FALSE,"",VLOOKUP(J15,$AJ$1:$AK$18,2,1)),""),IFERROR(IF(J15 = "FALSE","",VLOOKUP(J15,#REF!,2,TRUE)),"")))</f>
        <v/>
      </c>
      <c r="L15" s="42" t="n"/>
      <c r="M15" s="42" t="n"/>
      <c r="N15" s="42" t="n"/>
      <c r="O15" s="46">
        <f>IF(C15="","",IF(R15=1,"Yes","No"))</f>
        <v/>
      </c>
      <c r="P15" s="57">
        <f>IFERROR(IF(C15="","",IF(AND(Census!C15="E",Census!J15&gt;=18,Census!J15&lt;=65),"Yes","No")),"ERROR")</f>
        <v/>
      </c>
      <c r="Q15" s="58">
        <f>IFERROR(IF(C15="","",IF(AND(Census!C15="E",Census!J15&gt;=18,Census!J15&lt;=64),"Yes","No")),"ERROR")</f>
        <v/>
      </c>
      <c r="R15" s="59">
        <f>IF(OR(AB15&lt;&gt;1,AC15&lt;&gt;1,AD15&lt;&gt;1,AF15&lt;&gt;1,AE15&lt;&gt;1,AG15&lt;&gt;1),-1,1)</f>
        <v/>
      </c>
      <c r="S15" s="60">
        <f>AB15</f>
        <v/>
      </c>
      <c r="T15" s="61">
        <f>AC15</f>
        <v/>
      </c>
      <c r="U15" s="61">
        <f>AD15</f>
        <v/>
      </c>
      <c r="V15" s="61">
        <f>AE15</f>
        <v/>
      </c>
      <c r="W15" s="61">
        <f>AF15</f>
        <v/>
      </c>
      <c r="X15" s="62">
        <f>AG15</f>
        <v/>
      </c>
      <c r="Y15" s="23" t="n"/>
      <c r="Z15" s="23" t="n"/>
      <c r="AA15" s="23" t="n"/>
      <c r="AB15">
        <f>IFERROR(IF(OR(B15=0,B15=""),0,1),0)</f>
        <v/>
      </c>
      <c r="AC15">
        <f>IFERROR(IF(OR(C15="S",C15="D"),IF(AND(C15="D",D15="F"),1,IF(AND(C15="S",D15="M"),1,0)),IF(OR(C15="W",C15="H"),IF(OR(AND(C15="W",D15="F"),AND(C15="H",D15="M")),1,),IF(OR(D15="M",D15="F"),1,0))),0)</f>
        <v/>
      </c>
      <c r="AD15">
        <f>IFERROR(IF(OR(C15="E",C15="W",C15="H"),1,IF(C15 = "S",IF(D15="M",1,0),IF(D15 = "F",1,0))),0)</f>
        <v/>
      </c>
      <c r="AE15">
        <f>IFERROR(IF(OR(E15="M",E15="S"),IF(E15="M",IF(OR(C15="S",C15 = "D"),0,1),IF(OR(C15="W",C15="H"),0,1)),0),0)</f>
        <v/>
      </c>
      <c r="AF15">
        <f>IF(G15="",-1,IF(AND(G15&lt;=TODAY(),ISNUMBER(DATE(YEAR(G15),MONTH(G15),DAY(G15)))),IF(AND(OR(C15="S",C15="D"),J15&gt;24),-1,1),-1))</f>
        <v/>
      </c>
      <c r="AG15">
        <f>IF(OR(I15="CAT 1",I15="CAT 2",I15="CAT 3",I15="CAT 4"),1,0)</f>
        <v/>
      </c>
      <c r="AH15">
        <f>PRODUCT(AF15:AG15)*AE15</f>
        <v/>
      </c>
      <c r="AJ15" s="13">
        <f>AJ14+5</f>
        <v/>
      </c>
      <c r="AK15" s="13" t="inlineStr">
        <is>
          <t>65-69</t>
        </is>
      </c>
    </row>
    <row r="16" customFormat="1" s="12">
      <c r="A16" s="37" t="n">
        <v>15</v>
      </c>
      <c r="B16" s="38" t="n"/>
      <c r="C16" s="39" t="n"/>
      <c r="D16" s="40" t="n"/>
      <c r="E16" s="40" t="n"/>
      <c r="F16" s="39" t="n"/>
      <c r="G16" s="2" t="n"/>
      <c r="H16" s="39" t="n"/>
      <c r="I16" s="39" t="n"/>
      <c r="J16" s="50">
        <f>IFERROR(IF(G16="","",ROUNDDOWN(IF($G16="","",(inception_date-$G16)/365.25),0)),0)</f>
        <v/>
      </c>
      <c r="K16" s="37">
        <f>IF(I16="","",IF($AM$3=1,IFERROR(IF(J16=FALSE,"",VLOOKUP(J16,$AJ$1:$AK$18,2,1)),""),IFERROR(IF(J16 = "FALSE","",VLOOKUP(J16,#REF!,2,TRUE)),"")))</f>
        <v/>
      </c>
      <c r="L16" s="37" t="n"/>
      <c r="M16" s="37" t="n"/>
      <c r="N16" s="37" t="n"/>
      <c r="O16" s="41">
        <f>IF(C16="","",IF(R16=1,"Yes","No"))</f>
        <v/>
      </c>
      <c r="P16" s="51">
        <f>IFERROR(IF(C16="","",IF(AND(Census!C16="E",Census!J16&gt;=18,Census!J16&lt;=65),"Yes","No")),"ERROR")</f>
        <v/>
      </c>
      <c r="Q16" s="52">
        <f>IFERROR(IF(C16="","",IF(AND(Census!C16="E",Census!J16&gt;=18,Census!J16&lt;=64),"Yes","No")),"ERROR")</f>
        <v/>
      </c>
      <c r="R16" s="53">
        <f>IF(OR(AB16&lt;&gt;1,AC16&lt;&gt;1,AD16&lt;&gt;1,AF16&lt;&gt;1,AE16&lt;&gt;1,AG16&lt;&gt;1),-1,1)</f>
        <v/>
      </c>
      <c r="S16" s="54">
        <f>AB16</f>
        <v/>
      </c>
      <c r="T16" s="55">
        <f>AC16</f>
        <v/>
      </c>
      <c r="U16" s="55">
        <f>AD16</f>
        <v/>
      </c>
      <c r="V16" s="55">
        <f>AE16</f>
        <v/>
      </c>
      <c r="W16" s="55">
        <f>AF16</f>
        <v/>
      </c>
      <c r="X16" s="56">
        <f>AG16</f>
        <v/>
      </c>
      <c r="Y16" s="23" t="n"/>
      <c r="Z16" s="23" t="n"/>
      <c r="AA16" s="23" t="n"/>
      <c r="AB16">
        <f>IFERROR(IF(OR(B16=0,B16=""),0,1),0)</f>
        <v/>
      </c>
      <c r="AC16">
        <f>IFERROR(IF(OR(C16="S",C16="D"),IF(AND(C16="D",D16="F"),1,IF(AND(C16="S",D16="M"),1,0)),IF(OR(C16="W",C16="H"),IF(OR(AND(C16="W",D16="F"),AND(C16="H",D16="M")),1,),IF(OR(D16="M",D16="F"),1,0))),0)</f>
        <v/>
      </c>
      <c r="AD16">
        <f>IFERROR(IF(OR(C16="E",C16="W",C16="H"),1,IF(C16 = "S",IF(D16="M",1,0),IF(D16 = "F",1,0))),0)</f>
        <v/>
      </c>
      <c r="AE16">
        <f>IFERROR(IF(OR(E16="M",E16="S"),IF(E16="M",IF(OR(C16="S",C16 = "D"),0,1),IF(OR(C16="W",C16="H"),0,1)),0),0)</f>
        <v/>
      </c>
      <c r="AF16">
        <f>IF(G16="",-1,IF(AND(G16&lt;=TODAY(),ISNUMBER(DATE(YEAR(G16),MONTH(G16),DAY(G16)))),IF(AND(OR(C16="S",C16="D"),J16&gt;24),-1,1),-1))</f>
        <v/>
      </c>
      <c r="AG16">
        <f>IF(OR(I16="CAT 1",I16="CAT 2",I16="CAT 3",I16="CAT 4"),1,0)</f>
        <v/>
      </c>
      <c r="AH16">
        <f>PRODUCT(AF16:AG16)*AE16</f>
        <v/>
      </c>
      <c r="AJ16" s="13">
        <f>AJ15+5</f>
        <v/>
      </c>
      <c r="AK16" s="13" t="inlineStr">
        <is>
          <t>70-74</t>
        </is>
      </c>
    </row>
    <row r="17" customFormat="1" s="12">
      <c r="A17" s="42" t="n">
        <v>16</v>
      </c>
      <c r="B17" s="43" t="n"/>
      <c r="C17" s="44" t="n"/>
      <c r="D17" s="17" t="n"/>
      <c r="E17" s="17" t="n"/>
      <c r="F17" s="39" t="n"/>
      <c r="G17" s="66" t="n"/>
      <c r="H17" s="68" t="n"/>
      <c r="I17" s="68" t="n"/>
      <c r="J17" s="69">
        <f>IFERROR(IF(G17="","",ROUNDDOWN(IF($G17="","",(inception_date-$G17)/365.25),0)),0)</f>
        <v/>
      </c>
      <c r="K17" s="42">
        <f>IF(I17="","",IF($AM$3=1,IFERROR(IF(J17=FALSE,"",VLOOKUP(J17,$AJ$1:$AK$18,2,1)),""),IFERROR(IF(J17 = "FALSE","",VLOOKUP(J17,#REF!,2,TRUE)),"")))</f>
        <v/>
      </c>
      <c r="L17" s="42" t="n"/>
      <c r="M17" s="42" t="n"/>
      <c r="N17" s="42" t="n"/>
      <c r="O17" s="46">
        <f>IF(C17="","",IF(R17=1,"Yes","No"))</f>
        <v/>
      </c>
      <c r="P17" s="57">
        <f>IFERROR(IF(C17="","",IF(AND(Census!C17="E",Census!J17&gt;=18,Census!J17&lt;=65),"Yes","No")),"ERROR")</f>
        <v/>
      </c>
      <c r="Q17" s="58">
        <f>IFERROR(IF(C17="","",IF(AND(Census!C17="E",Census!J17&gt;=18,Census!J17&lt;=64),"Yes","No")),"ERROR")</f>
        <v/>
      </c>
      <c r="R17" s="59">
        <f>IF(OR(AB17&lt;&gt;1,AC17&lt;&gt;1,AD17&lt;&gt;1,AF17&lt;&gt;1,AE17&lt;&gt;1,AG17&lt;&gt;1),-1,1)</f>
        <v/>
      </c>
      <c r="S17" s="60">
        <f>AB17</f>
        <v/>
      </c>
      <c r="T17" s="61">
        <f>AC17</f>
        <v/>
      </c>
      <c r="U17" s="61">
        <f>AD17</f>
        <v/>
      </c>
      <c r="V17" s="61">
        <f>AE17</f>
        <v/>
      </c>
      <c r="W17" s="61">
        <f>AF17</f>
        <v/>
      </c>
      <c r="X17" s="62">
        <f>AG17</f>
        <v/>
      </c>
      <c r="Y17" s="23" t="n"/>
      <c r="Z17" s="23" t="n"/>
      <c r="AA17" s="23" t="n"/>
      <c r="AB17">
        <f>IFERROR(IF(OR(B17=0,B17=""),0,1),0)</f>
        <v/>
      </c>
      <c r="AC17">
        <f>IFERROR(IF(OR(C17="S",C17="D"),IF(AND(C17="D",D17="F"),1,IF(AND(C17="S",D17="M"),1,0)),IF(OR(C17="W",C17="H"),IF(OR(AND(C17="W",D17="F"),AND(C17="H",D17="M")),1,),IF(OR(D17="M",D17="F"),1,0))),0)</f>
        <v/>
      </c>
      <c r="AD17">
        <f>IFERROR(IF(OR(C17="E",C17="W",C17="H"),1,IF(C17 = "S",IF(D17="M",1,0),IF(D17 = "F",1,0))),0)</f>
        <v/>
      </c>
      <c r="AE17">
        <f>IFERROR(IF(OR(E17="M",E17="S"),IF(E17="M",IF(OR(C17="S",C17 = "D"),0,1),IF(OR(C17="W",C17="H"),0,1)),0),0)</f>
        <v/>
      </c>
      <c r="AF17">
        <f>IF(G17="",-1,IF(AND(G17&lt;=TODAY(),ISNUMBER(DATE(YEAR(G17),MONTH(G17),DAY(G17)))),IF(AND(OR(C17="S",C17="D"),J17&gt;24),-1,1),-1))</f>
        <v/>
      </c>
      <c r="AG17">
        <f>IF(OR(I17="CAT 1",I17="CAT 2",I17="CAT 3",I17="CAT 4"),1,0)</f>
        <v/>
      </c>
      <c r="AH17">
        <f>PRODUCT(AF17:AG17)*AE17</f>
        <v/>
      </c>
      <c r="AJ17" s="13">
        <f>AJ16+5</f>
        <v/>
      </c>
      <c r="AK17" s="13" t="inlineStr">
        <is>
          <t>75-79</t>
        </is>
      </c>
    </row>
    <row r="18" customFormat="1" s="12">
      <c r="A18" s="37" t="n">
        <v>17</v>
      </c>
      <c r="B18" s="38" t="n"/>
      <c r="C18" s="39" t="n"/>
      <c r="D18" s="65" t="n"/>
      <c r="E18" s="65" t="n"/>
      <c r="F18" s="39" t="n"/>
      <c r="G18" s="2" t="n"/>
      <c r="H18" s="39" t="n"/>
      <c r="I18" s="39" t="n"/>
      <c r="J18" s="50">
        <f>IFERROR(IF(G18="","",ROUNDDOWN(IF($G18="","",(inception_date-$G18)/365.25),0)),0)</f>
        <v/>
      </c>
      <c r="K18" s="37">
        <f>IF(I18="","",IF($AM$3=1,IFERROR(IF(J18=FALSE,"",VLOOKUP(J18,$AJ$1:$AK$18,2,1)),""),IFERROR(IF(J18 = "FALSE","",VLOOKUP(J18,#REF!,2,TRUE)),"")))</f>
        <v/>
      </c>
      <c r="L18" s="37" t="n"/>
      <c r="M18" s="37" t="n"/>
      <c r="N18" s="37" t="n"/>
      <c r="O18" s="41">
        <f>IF(C18="","",IF(R18=1,"Yes","No"))</f>
        <v/>
      </c>
      <c r="P18" s="51">
        <f>IFERROR(IF(C18="","",IF(AND(Census!C18="E",Census!J18&gt;=18,Census!J18&lt;=65),"Yes","No")),"ERROR")</f>
        <v/>
      </c>
      <c r="Q18" s="52">
        <f>IFERROR(IF(C18="","",IF(AND(Census!C18="E",Census!J18&gt;=18,Census!J18&lt;=64),"Yes","No")),"ERROR")</f>
        <v/>
      </c>
      <c r="R18" s="53">
        <f>IF(OR(AB18&lt;&gt;1,AC18&lt;&gt;1,AD18&lt;&gt;1,AF18&lt;&gt;1,AE18&lt;&gt;1,AG18&lt;&gt;1),-1,1)</f>
        <v/>
      </c>
      <c r="S18" s="54">
        <f>AB18</f>
        <v/>
      </c>
      <c r="T18" s="55">
        <f>AC18</f>
        <v/>
      </c>
      <c r="U18" s="55">
        <f>AD18</f>
        <v/>
      </c>
      <c r="V18" s="55">
        <f>AE18</f>
        <v/>
      </c>
      <c r="W18" s="55">
        <f>AF18</f>
        <v/>
      </c>
      <c r="X18" s="56">
        <f>AG18</f>
        <v/>
      </c>
      <c r="Y18" s="23" t="n"/>
      <c r="Z18" s="23" t="n"/>
      <c r="AA18" s="23" t="n"/>
      <c r="AB18">
        <f>IFERROR(IF(OR(B18=0,B18=""),0,1),0)</f>
        <v/>
      </c>
      <c r="AC18">
        <f>IFERROR(IF(OR(C18="S",C18="D"),IF(AND(C18="D",D18="F"),1,IF(AND(C18="S",D18="M"),1,0)),IF(OR(C18="W",C18="H"),IF(OR(AND(C18="W",D18="F"),AND(C18="H",D18="M")),1,),IF(OR(D18="M",D18="F"),1,0))),0)</f>
        <v/>
      </c>
      <c r="AD18">
        <f>IFERROR(IF(OR(C18="E",C18="W",C18="H"),1,IF(C18 = "S",IF(D18="M",1,0),IF(D18 = "F",1,0))),0)</f>
        <v/>
      </c>
      <c r="AE18">
        <f>IFERROR(IF(OR(E18="M",E18="S"),IF(E18="M",IF(OR(C18="S",C18 = "D"),0,1),IF(OR(C18="W",C18="H"),0,1)),0),0)</f>
        <v/>
      </c>
      <c r="AF18">
        <f>IF(G18="",-1,IF(AND(G18&lt;=TODAY(),ISNUMBER(DATE(YEAR(G18),MONTH(G18),DAY(G18)))),IF(AND(OR(C18="S",C18="D"),J18&gt;24),-1,1),-1))</f>
        <v/>
      </c>
      <c r="AG18">
        <f>IF(OR(I18="CAT 1",I18="CAT 2",I18="CAT 3",I18="CAT 4"),1,0)</f>
        <v/>
      </c>
      <c r="AH18">
        <f>PRODUCT(AF18:AG18)*AE18</f>
        <v/>
      </c>
      <c r="AJ18" s="13">
        <f>AJ17+5</f>
        <v/>
      </c>
      <c r="AK18" s="13" t="inlineStr">
        <is>
          <t>80-Above</t>
        </is>
      </c>
    </row>
    <row r="19" customFormat="1" s="12">
      <c r="A19" s="42" t="n">
        <v>18</v>
      </c>
      <c r="B19" s="43" t="n"/>
      <c r="C19" s="44" t="n"/>
      <c r="D19" s="17" t="n"/>
      <c r="E19" s="17" t="n"/>
      <c r="F19" s="39" t="n"/>
      <c r="G19" s="66" t="n"/>
      <c r="H19" s="68" t="n"/>
      <c r="I19" s="68" t="n"/>
      <c r="J19" s="69">
        <f>IFERROR(IF(G19="","",ROUNDDOWN(IF($G19="","",(inception_date-$G19)/365.25),0)),0)</f>
        <v/>
      </c>
      <c r="K19" s="42">
        <f>IF(I19="","",IF($AM$3=1,IFERROR(IF(J19=FALSE,"",VLOOKUP(J19,$AJ$1:$AK$18,2,1)),""),IFERROR(IF(J19 = "FALSE","",VLOOKUP(J19,#REF!,2,TRUE)),"")))</f>
        <v/>
      </c>
      <c r="L19" s="42" t="n"/>
      <c r="M19" s="42" t="n"/>
      <c r="N19" s="42" t="n"/>
      <c r="O19" s="46">
        <f>IF(C19="","",IF(R19=1,"Yes","No"))</f>
        <v/>
      </c>
      <c r="P19" s="57">
        <f>IFERROR(IF(C19="","",IF(AND(Census!C19="E",Census!J19&gt;=18,Census!J19&lt;=65),"Yes","No")),"ERROR")</f>
        <v/>
      </c>
      <c r="Q19" s="58">
        <f>IFERROR(IF(C19="","",IF(AND(Census!C19="E",Census!J19&gt;=18,Census!J19&lt;=64),"Yes","No")),"ERROR")</f>
        <v/>
      </c>
      <c r="R19" s="59">
        <f>IF(OR(AB19&lt;&gt;1,AC19&lt;&gt;1,AD19&lt;&gt;1,AF19&lt;&gt;1,AE19&lt;&gt;1,AG19&lt;&gt;1),-1,1)</f>
        <v/>
      </c>
      <c r="S19" s="60">
        <f>AB19</f>
        <v/>
      </c>
      <c r="T19" s="61">
        <f>AC19</f>
        <v/>
      </c>
      <c r="U19" s="61">
        <f>AD19</f>
        <v/>
      </c>
      <c r="V19" s="61">
        <f>AE19</f>
        <v/>
      </c>
      <c r="W19" s="61">
        <f>AF19</f>
        <v/>
      </c>
      <c r="X19" s="62">
        <f>AG19</f>
        <v/>
      </c>
      <c r="Y19" s="23" t="n"/>
      <c r="Z19" s="23" t="n"/>
      <c r="AA19" s="23" t="n"/>
      <c r="AB19">
        <f>IFERROR(IF(OR(B19=0,B19=""),0,1),0)</f>
        <v/>
      </c>
      <c r="AC19">
        <f>IFERROR(IF(OR(C19="S",C19="D"),IF(AND(C19="D",D19="F"),1,IF(AND(C19="S",D19="M"),1,0)),IF(OR(C19="W",C19="H"),IF(OR(AND(C19="W",D19="F"),AND(C19="H",D19="M")),1,),IF(OR(D19="M",D19="F"),1,0))),0)</f>
        <v/>
      </c>
      <c r="AD19">
        <f>IFERROR(IF(OR(C19="E",C19="W",C19="H"),1,IF(C19 = "S",IF(D19="M",1,0),IF(D19 = "F",1,0))),0)</f>
        <v/>
      </c>
      <c r="AE19">
        <f>IFERROR(IF(OR(E19="M",E19="S"),IF(E19="M",IF(OR(C19="S",C19 = "D"),0,1),IF(OR(C19="W",C19="H"),0,1)),0),0)</f>
        <v/>
      </c>
      <c r="AF19">
        <f>IF(G19="",-1,IF(AND(G19&lt;=TODAY(),ISNUMBER(DATE(YEAR(G19),MONTH(G19),DAY(G19)))),IF(AND(OR(C19="S",C19="D"),J19&gt;24),-1,1),-1))</f>
        <v/>
      </c>
      <c r="AG19">
        <f>IF(OR(I19="CAT 1",I19="CAT 2",I19="CAT 3",I19="CAT 4"),1,0)</f>
        <v/>
      </c>
      <c r="AH19">
        <f>PRODUCT(AF19:AG19)*AE19</f>
        <v/>
      </c>
    </row>
    <row r="20" customFormat="1" s="12">
      <c r="A20" s="37" t="n">
        <v>19</v>
      </c>
      <c r="B20" s="38" t="n"/>
      <c r="C20" s="39" t="n"/>
      <c r="D20" s="65" t="n"/>
      <c r="E20" s="65" t="n"/>
      <c r="F20" s="39" t="n"/>
      <c r="G20" s="2" t="n"/>
      <c r="H20" s="39" t="n"/>
      <c r="I20" s="39" t="n"/>
      <c r="J20" s="50">
        <f>IFERROR(IF(G20="","",ROUNDDOWN(IF($G20="","",(inception_date-$G20)/365.25),0)),0)</f>
        <v/>
      </c>
      <c r="K20" s="37">
        <f>IF(I20="","",IF($AM$3=1,IFERROR(IF(J20=FALSE,"",VLOOKUP(J20,$AJ$1:$AK$18,2,1)),""),IFERROR(IF(J20 = "FALSE","",VLOOKUP(J20,#REF!,2,TRUE)),"")))</f>
        <v/>
      </c>
      <c r="L20" s="37" t="n"/>
      <c r="M20" s="37" t="n"/>
      <c r="N20" s="37" t="n"/>
      <c r="O20" s="41">
        <f>IF(C20="","",IF(R20=1,"Yes","No"))</f>
        <v/>
      </c>
      <c r="P20" s="51">
        <f>IFERROR(IF(C20="","",IF(AND(Census!C20="E",Census!J20&gt;=18,Census!J20&lt;=65),"Yes","No")),"ERROR")</f>
        <v/>
      </c>
      <c r="Q20" s="52">
        <f>IFERROR(IF(C20="","",IF(AND(Census!C20="E",Census!J20&gt;=18,Census!J20&lt;=64),"Yes","No")),"ERROR")</f>
        <v/>
      </c>
      <c r="R20" s="53">
        <f>IF(OR(AB20&lt;&gt;1,AC20&lt;&gt;1,AD20&lt;&gt;1,AF20&lt;&gt;1,AE20&lt;&gt;1,AG20&lt;&gt;1),-1,1)</f>
        <v/>
      </c>
      <c r="S20" s="54">
        <f>AB20</f>
        <v/>
      </c>
      <c r="T20" s="55">
        <f>AC20</f>
        <v/>
      </c>
      <c r="U20" s="55">
        <f>AD20</f>
        <v/>
      </c>
      <c r="V20" s="55">
        <f>AE20</f>
        <v/>
      </c>
      <c r="W20" s="55">
        <f>AF20</f>
        <v/>
      </c>
      <c r="X20" s="56">
        <f>AG20</f>
        <v/>
      </c>
      <c r="Y20" s="23" t="n"/>
      <c r="Z20" s="23" t="n"/>
      <c r="AA20" s="23" t="n"/>
      <c r="AB20">
        <f>IFERROR(IF(OR(B20=0,B20=""),0,1),0)</f>
        <v/>
      </c>
      <c r="AC20">
        <f>IFERROR(IF(OR(C20="S",C20="D"),IF(AND(C20="D",D20="F"),1,IF(AND(C20="S",D20="M"),1,0)),IF(OR(C20="W",C20="H"),IF(OR(AND(C20="W",D20="F"),AND(C20="H",D20="M")),1,),IF(OR(D20="M",D20="F"),1,0))),0)</f>
        <v/>
      </c>
      <c r="AD20">
        <f>IFERROR(IF(OR(C20="E",C20="W",C20="H"),1,IF(C20 = "S",IF(D20="M",1,0),IF(D20 = "F",1,0))),0)</f>
        <v/>
      </c>
      <c r="AE20">
        <f>IFERROR(IF(OR(E20="M",E20="S"),IF(E20="M",IF(OR(C20="S",C20 = "D"),0,1),IF(OR(C20="W",C20="H"),0,1)),0),0)</f>
        <v/>
      </c>
      <c r="AF20">
        <f>IF(G20="",-1,IF(AND(G20&lt;=TODAY(),ISNUMBER(DATE(YEAR(G20),MONTH(G20),DAY(G20)))),IF(AND(OR(C20="S",C20="D"),J20&gt;24),-1,1),-1))</f>
        <v/>
      </c>
      <c r="AG20">
        <f>IF(OR(I20="CAT 1",I20="CAT 2",I20="CAT 3",I20="CAT 4"),1,0)</f>
        <v/>
      </c>
      <c r="AH20">
        <f>PRODUCT(AF20:AG20)*AE20</f>
        <v/>
      </c>
    </row>
    <row r="21" customFormat="1" s="12">
      <c r="A21" s="42" t="n">
        <v>20</v>
      </c>
      <c r="B21" s="43" t="n"/>
      <c r="C21" s="44" t="n"/>
      <c r="D21" s="17" t="n"/>
      <c r="E21" s="17" t="n"/>
      <c r="F21" s="39" t="n"/>
      <c r="G21" s="66" t="n"/>
      <c r="H21" s="68" t="n"/>
      <c r="I21" s="68" t="n"/>
      <c r="J21" s="69">
        <f>IFERROR(IF(G21="","",ROUNDDOWN(IF($G21="","",(inception_date-$G21)/365.25),0)),0)</f>
        <v/>
      </c>
      <c r="K21" s="42">
        <f>IF(I21="","",IF($AM$3=1,IFERROR(IF(J21=FALSE,"",VLOOKUP(J21,$AJ$1:$AK$18,2,1)),""),IFERROR(IF(J21 = "FALSE","",VLOOKUP(J21,#REF!,2,TRUE)),"")))</f>
        <v/>
      </c>
      <c r="L21" s="42" t="n"/>
      <c r="M21" s="42" t="n"/>
      <c r="N21" s="42" t="n"/>
      <c r="O21" s="46">
        <f>IF(C21="","",IF(R21=1,"Yes","No"))</f>
        <v/>
      </c>
      <c r="P21" s="57">
        <f>IFERROR(IF(C21="","",IF(AND(Census!C21="E",Census!J21&gt;=18,Census!J21&lt;=65),"Yes","No")),"ERROR")</f>
        <v/>
      </c>
      <c r="Q21" s="58">
        <f>IFERROR(IF(C21="","",IF(AND(Census!C21="E",Census!J21&gt;=18,Census!J21&lt;=64),"Yes","No")),"ERROR")</f>
        <v/>
      </c>
      <c r="R21" s="59">
        <f>IF(OR(AB21&lt;&gt;1,AC21&lt;&gt;1,AD21&lt;&gt;1,AF21&lt;&gt;1,AE21&lt;&gt;1,AG21&lt;&gt;1),-1,1)</f>
        <v/>
      </c>
      <c r="S21" s="60">
        <f>AB21</f>
        <v/>
      </c>
      <c r="T21" s="61">
        <f>AC21</f>
        <v/>
      </c>
      <c r="U21" s="61">
        <f>AD21</f>
        <v/>
      </c>
      <c r="V21" s="61">
        <f>AE21</f>
        <v/>
      </c>
      <c r="W21" s="61">
        <f>AF21</f>
        <v/>
      </c>
      <c r="X21" s="62">
        <f>AG21</f>
        <v/>
      </c>
      <c r="Y21" s="23" t="n"/>
      <c r="Z21" s="23" t="n"/>
      <c r="AA21" s="23" t="n"/>
      <c r="AB21">
        <f>IFERROR(IF(OR(B21=0,B21=""),0,1),0)</f>
        <v/>
      </c>
      <c r="AC21">
        <f>IFERROR(IF(OR(C21="S",C21="D"),IF(AND(C21="D",D21="F"),1,IF(AND(C21="S",D21="M"),1,0)),IF(OR(C21="W",C21="H"),IF(OR(AND(C21="W",D21="F"),AND(C21="H",D21="M")),1,),IF(OR(D21="M",D21="F"),1,0))),0)</f>
        <v/>
      </c>
      <c r="AD21">
        <f>IFERROR(IF(OR(C21="E",C21="W",C21="H"),1,IF(C21 = "S",IF(D21="M",1,0),IF(D21 = "F",1,0))),0)</f>
        <v/>
      </c>
      <c r="AE21">
        <f>IFERROR(IF(OR(E21="M",E21="S"),IF(E21="M",IF(OR(C21="S",C21 = "D"),0,1),IF(OR(C21="W",C21="H"),0,1)),0),0)</f>
        <v/>
      </c>
      <c r="AF21">
        <f>IF(G21="",-1,IF(AND(G21&lt;=TODAY(),ISNUMBER(DATE(YEAR(G21),MONTH(G21),DAY(G21)))),IF(AND(OR(C21="S",C21="D"),J21&gt;24),-1,1),-1))</f>
        <v/>
      </c>
      <c r="AG21">
        <f>IF(OR(I21="CAT 1",I21="CAT 2",I21="CAT 3",I21="CAT 4"),1,0)</f>
        <v/>
      </c>
      <c r="AH21">
        <f>PRODUCT(AF21:AG21)*AE21</f>
        <v/>
      </c>
      <c r="AJ21" s="12" t="inlineStr">
        <is>
          <t>nb non vide Age</t>
        </is>
      </c>
    </row>
    <row r="22" customFormat="1" s="12">
      <c r="A22" s="37" t="n">
        <v>21</v>
      </c>
      <c r="B22" s="38" t="n"/>
      <c r="C22" s="39" t="n"/>
      <c r="D22" s="65" t="n"/>
      <c r="E22" s="65" t="n"/>
      <c r="F22" s="39" t="n"/>
      <c r="G22" s="2" t="n"/>
      <c r="H22" s="39" t="n"/>
      <c r="I22" s="39" t="n"/>
      <c r="J22" s="50">
        <f>IFERROR(IF(G22="","",ROUNDDOWN(IF($G22="","",(inception_date-$G22)/365.25),0)),0)</f>
        <v/>
      </c>
      <c r="K22" s="37">
        <f>IF(I22="","",IF($AM$3=1,IFERROR(IF(J22=FALSE,"",VLOOKUP(J22,$AJ$1:$AK$18,2,1)),""),IFERROR(IF(J22 = "FALSE","",VLOOKUP(J22,#REF!,2,TRUE)),"")))</f>
        <v/>
      </c>
      <c r="L22" s="37" t="n"/>
      <c r="M22" s="37" t="n"/>
      <c r="N22" s="37" t="n"/>
      <c r="O22" s="41">
        <f>IF(C22="","",IF(R22=1,"Yes","No"))</f>
        <v/>
      </c>
      <c r="P22" s="51">
        <f>IFERROR(IF(C22="","",IF(AND(Census!C22="E",Census!J22&gt;=18,Census!J22&lt;=65),"Yes","No")),"ERROR")</f>
        <v/>
      </c>
      <c r="Q22" s="52">
        <f>IFERROR(IF(C22="","",IF(AND(Census!C22="E",Census!J22&gt;=18,Census!J22&lt;=64),"Yes","No")),"ERROR")</f>
        <v/>
      </c>
      <c r="R22" s="53">
        <f>IF(OR(AB22&lt;&gt;1,AC22&lt;&gt;1,AD22&lt;&gt;1,AF22&lt;&gt;1,AE22&lt;&gt;1,AG22&lt;&gt;1),-1,1)</f>
        <v/>
      </c>
      <c r="S22" s="54">
        <f>AB22</f>
        <v/>
      </c>
      <c r="T22" s="55">
        <f>AC22</f>
        <v/>
      </c>
      <c r="U22" s="55">
        <f>AD22</f>
        <v/>
      </c>
      <c r="V22" s="55">
        <f>AE22</f>
        <v/>
      </c>
      <c r="W22" s="55">
        <f>AF22</f>
        <v/>
      </c>
      <c r="X22" s="56">
        <f>AG22</f>
        <v/>
      </c>
      <c r="Y22" s="23" t="n"/>
      <c r="Z22" s="23" t="n"/>
      <c r="AA22" s="23" t="n"/>
      <c r="AB22">
        <f>IFERROR(IF(OR(B22=0,B22=""),0,1),0)</f>
        <v/>
      </c>
      <c r="AC22">
        <f>IFERROR(IF(OR(C22="S",C22="D"),IF(AND(C22="D",D22="F"),1,IF(AND(C22="S",D22="M"),1,0)),IF(OR(C22="W",C22="H"),IF(OR(AND(C22="W",D22="F"),AND(C22="H",D22="M")),1,),IF(OR(D22="M",D22="F"),1,0))),0)</f>
        <v/>
      </c>
      <c r="AD22">
        <f>IFERROR(IF(OR(C22="E",C22="W",C22="H"),1,IF(C22 = "S",IF(D22="M",1,0),IF(D22 = "F",1,0))),0)</f>
        <v/>
      </c>
      <c r="AE22">
        <f>IFERROR(IF(OR(E22="M",E22="S"),IF(E22="M",IF(OR(C22="S",C22 = "D"),0,1),IF(OR(C22="W",C22="H"),0,1)),0),0)</f>
        <v/>
      </c>
      <c r="AF22">
        <f>IF(G22="",-1,IF(AND(G22&lt;=TODAY(),ISNUMBER(DATE(YEAR(G22),MONTH(G22),DAY(G22)))),IF(AND(OR(C22="S",C22="D"),J22&gt;24),-1,1),-1))</f>
        <v/>
      </c>
      <c r="AG22">
        <f>IF(OR(I22="CAT 1",I22="CAT 2",I22="CAT 3",I22="CAT 4"),1,0)</f>
        <v/>
      </c>
      <c r="AH22">
        <f>PRODUCT(AF22:AG22)*AE22</f>
        <v/>
      </c>
      <c r="AJ22" s="12" t="inlineStr">
        <is>
          <t>nb non vide Categ</t>
        </is>
      </c>
    </row>
    <row r="23" customFormat="1" s="12">
      <c r="A23" s="42" t="n">
        <v>22</v>
      </c>
      <c r="B23" s="43" t="n"/>
      <c r="C23" s="44" t="n"/>
      <c r="D23" s="17" t="n"/>
      <c r="E23" s="17" t="n"/>
      <c r="F23" s="39" t="n"/>
      <c r="G23" s="66" t="n"/>
      <c r="H23" s="68" t="n"/>
      <c r="I23" s="68" t="n"/>
      <c r="J23" s="69">
        <f>IFERROR(IF(G23="","",ROUNDDOWN(IF($G23="","",(inception_date-$G23)/365.25),0)),0)</f>
        <v/>
      </c>
      <c r="K23" s="42">
        <f>IF(I23="","",IF($AM$3=1,IFERROR(IF(J23=FALSE,"",VLOOKUP(J23,$AJ$1:$AK$18,2,1)),""),IFERROR(IF(J23 = "FALSE","",VLOOKUP(J23,#REF!,2,TRUE)),"")))</f>
        <v/>
      </c>
      <c r="L23" s="42" t="n"/>
      <c r="M23" s="42" t="n"/>
      <c r="N23" s="42" t="n"/>
      <c r="O23" s="46">
        <f>IF(C23="","",IF(R23=1,"Yes","No"))</f>
        <v/>
      </c>
      <c r="P23" s="57">
        <f>IFERROR(IF(C23="","",IF(AND(Census!C23="E",Census!J23&gt;=18,Census!J23&lt;=65),"Yes","No")),"ERROR")</f>
        <v/>
      </c>
      <c r="Q23" s="58">
        <f>IFERROR(IF(C23="","",IF(AND(Census!C23="E",Census!J23&gt;=18,Census!J23&lt;=64),"Yes","No")),"ERROR")</f>
        <v/>
      </c>
      <c r="R23" s="59">
        <f>IF(OR(AB23&lt;&gt;1,AC23&lt;&gt;1,AD23&lt;&gt;1,AF23&lt;&gt;1,AE23&lt;&gt;1,AG23&lt;&gt;1),-1,1)</f>
        <v/>
      </c>
      <c r="S23" s="60">
        <f>AB23</f>
        <v/>
      </c>
      <c r="T23" s="61">
        <f>AC23</f>
        <v/>
      </c>
      <c r="U23" s="61">
        <f>AD23</f>
        <v/>
      </c>
      <c r="V23" s="61">
        <f>AE23</f>
        <v/>
      </c>
      <c r="W23" s="61">
        <f>AF23</f>
        <v/>
      </c>
      <c r="X23" s="62">
        <f>AG23</f>
        <v/>
      </c>
      <c r="Y23" s="23" t="n"/>
      <c r="Z23" s="23" t="n"/>
      <c r="AA23" s="23" t="n"/>
      <c r="AB23">
        <f>IFERROR(IF(OR(B23=0,B23=""),0,1),0)</f>
        <v/>
      </c>
      <c r="AC23">
        <f>IFERROR(IF(OR(C23="S",C23="D"),IF(AND(C23="D",D23="F"),1,IF(AND(C23="S",D23="M"),1,0)),IF(OR(C23="W",C23="H"),IF(OR(AND(C23="W",D23="F"),AND(C23="H",D23="M")),1,),IF(OR(D23="M",D23="F"),1,0))),0)</f>
        <v/>
      </c>
      <c r="AD23">
        <f>IFERROR(IF(OR(C23="E",C23="W",C23="H"),1,IF(C23 = "S",IF(D23="M",1,0),IF(D23 = "F",1,0))),0)</f>
        <v/>
      </c>
      <c r="AE23">
        <f>IFERROR(IF(OR(E23="M",E23="S"),IF(E23="M",IF(OR(C23="S",C23 = "D"),0,1),IF(OR(C23="W",C23="H"),0,1)),0),0)</f>
        <v/>
      </c>
      <c r="AF23">
        <f>IF(G23="",-1,IF(AND(G23&lt;=TODAY(),ISNUMBER(DATE(YEAR(G23),MONTH(G23),DAY(G23)))),IF(AND(OR(C23="S",C23="D"),J23&gt;24),-1,1),-1))</f>
        <v/>
      </c>
      <c r="AG23">
        <f>IF(OR(I23="CAT 1",I23="CAT 2",I23="CAT 3",I23="CAT 4"),1,0)</f>
        <v/>
      </c>
      <c r="AH23">
        <f>PRODUCT(AF23:AG23)*AE23</f>
        <v/>
      </c>
      <c r="AJ23" s="12" t="inlineStr">
        <is>
          <t>nb non vide Age</t>
        </is>
      </c>
    </row>
    <row r="24" customFormat="1" s="12">
      <c r="A24" s="37" t="n">
        <v>23</v>
      </c>
      <c r="B24" s="38" t="n"/>
      <c r="C24" s="39" t="n"/>
      <c r="D24" s="65" t="n"/>
      <c r="E24" s="65" t="n"/>
      <c r="F24" s="39" t="n"/>
      <c r="G24" s="2" t="n"/>
      <c r="H24" s="39" t="n"/>
      <c r="I24" s="39" t="n"/>
      <c r="J24" s="50">
        <f>IFERROR(IF(G24="","",ROUNDDOWN(IF($G24="","",(inception_date-$G24)/365.25),0)),0)</f>
        <v/>
      </c>
      <c r="K24" s="37">
        <f>IF(I24="","",IF($AM$3=1,IFERROR(IF(J24=FALSE,"",VLOOKUP(J24,$AJ$1:$AK$18,2,1)),""),IFERROR(IF(J24 = "FALSE","",VLOOKUP(J24,#REF!,2,TRUE)),"")))</f>
        <v/>
      </c>
      <c r="L24" s="37" t="n"/>
      <c r="M24" s="37" t="n"/>
      <c r="N24" s="37" t="n"/>
      <c r="O24" s="41">
        <f>IF(C24="","",IF(R24=1,"Yes","No"))</f>
        <v/>
      </c>
      <c r="P24" s="51">
        <f>IFERROR(IF(C24="","",IF(AND(Census!C24="E",Census!J24&gt;=18,Census!J24&lt;=65),"Yes","No")),"ERROR")</f>
        <v/>
      </c>
      <c r="Q24" s="52">
        <f>IFERROR(IF(C24="","",IF(AND(Census!C24="E",Census!J24&gt;=18,Census!J24&lt;=64),"Yes","No")),"ERROR")</f>
        <v/>
      </c>
      <c r="R24" s="53">
        <f>IF(OR(AB24&lt;&gt;1,AC24&lt;&gt;1,AD24&lt;&gt;1,AF24&lt;&gt;1,AE24&lt;&gt;1,AG24&lt;&gt;1),-1,1)</f>
        <v/>
      </c>
      <c r="S24" s="54">
        <f>AB24</f>
        <v/>
      </c>
      <c r="T24" s="55">
        <f>AC24</f>
        <v/>
      </c>
      <c r="U24" s="55">
        <f>AD24</f>
        <v/>
      </c>
      <c r="V24" s="55">
        <f>AE24</f>
        <v/>
      </c>
      <c r="W24" s="55">
        <f>AF24</f>
        <v/>
      </c>
      <c r="X24" s="56">
        <f>AG24</f>
        <v/>
      </c>
      <c r="Y24" s="23" t="n"/>
      <c r="Z24" s="23" t="n"/>
      <c r="AA24" s="23" t="n"/>
      <c r="AB24">
        <f>IFERROR(IF(OR(B24=0,B24=""),0,1),0)</f>
        <v/>
      </c>
      <c r="AC24">
        <f>IFERROR(IF(OR(C24="S",C24="D"),IF(AND(C24="D",D24="F"),1,IF(AND(C24="S",D24="M"),1,0)),IF(OR(C24="W",C24="H"),IF(OR(AND(C24="W",D24="F"),AND(C24="H",D24="M")),1,),IF(OR(D24="M",D24="F"),1,0))),0)</f>
        <v/>
      </c>
      <c r="AD24">
        <f>IFERROR(IF(OR(C24="E",C24="W",C24="H"),1,IF(C24 = "S",IF(D24="M",1,0),IF(D24 = "F",1,0))),0)</f>
        <v/>
      </c>
      <c r="AE24">
        <f>IFERROR(IF(OR(E24="M",E24="S"),IF(E24="M",IF(OR(C24="S",C24 = "D"),0,1),IF(OR(C24="W",C24="H"),0,1)),0),0)</f>
        <v/>
      </c>
      <c r="AF24">
        <f>IF(G24="",-1,IF(AND(G24&lt;=TODAY(),ISNUMBER(DATE(YEAR(G24),MONTH(G24),DAY(G24)))),IF(AND(OR(C24="S",C24="D"),J24&gt;24),-1,1),-1))</f>
        <v/>
      </c>
      <c r="AG24">
        <f>IF(OR(I24="CAT 1",I24="CAT 2",I24="CAT 3",I24="CAT 4"),1,0)</f>
        <v/>
      </c>
      <c r="AH24">
        <f>PRODUCT(AF24:AG24)*AE24</f>
        <v/>
      </c>
    </row>
    <row r="25" customFormat="1" s="12">
      <c r="A25" s="42" t="n">
        <v>24</v>
      </c>
      <c r="B25" s="43" t="n"/>
      <c r="C25" s="44" t="n"/>
      <c r="D25" s="17" t="n"/>
      <c r="E25" s="17" t="n"/>
      <c r="F25" s="39" t="n"/>
      <c r="G25" s="3" t="n"/>
      <c r="H25" s="44" t="n"/>
      <c r="I25" s="44" t="n"/>
      <c r="J25" s="42">
        <f>IFERROR(IF(G25="","",ROUNDDOWN(IF($G25="","",(inception_date-$G25)/365.25),0)),0)</f>
        <v/>
      </c>
      <c r="K25" s="42">
        <f>IF(I25="","",IF($AM$3=1,IFERROR(IF(J25=FALSE,"",VLOOKUP(J25,$AJ$1:$AK$18,2,1)),""),IFERROR(IF(J25 = "FALSE","",VLOOKUP(J25,#REF!,2,TRUE)),"")))</f>
        <v/>
      </c>
      <c r="L25" s="42" t="n"/>
      <c r="M25" s="42" t="n"/>
      <c r="N25" s="42" t="n"/>
      <c r="O25" s="46">
        <f>IF(C25="","",IF(R25=1,"Yes","No"))</f>
        <v/>
      </c>
      <c r="P25" s="57">
        <f>IFERROR(IF(C25="","",IF(AND(Census!C25="E",Census!J25&gt;=18,Census!J25&lt;=65),"Yes","No")),"ERROR")</f>
        <v/>
      </c>
      <c r="Q25" s="58">
        <f>IFERROR(IF(C25="","",IF(AND(Census!C25="E",Census!J25&gt;=18,Census!J25&lt;=64),"Yes","No")),"ERROR")</f>
        <v/>
      </c>
      <c r="R25" s="59">
        <f>IF(OR(AB25&lt;&gt;1,AC25&lt;&gt;1,AD25&lt;&gt;1,AF25&lt;&gt;1,AE25&lt;&gt;1,AG25&lt;&gt;1),-1,1)</f>
        <v/>
      </c>
      <c r="S25" s="60">
        <f>AB25</f>
        <v/>
      </c>
      <c r="T25" s="61">
        <f>AC25</f>
        <v/>
      </c>
      <c r="U25" s="61">
        <f>AD25</f>
        <v/>
      </c>
      <c r="V25" s="61">
        <f>AE25</f>
        <v/>
      </c>
      <c r="W25" s="61">
        <f>AF25</f>
        <v/>
      </c>
      <c r="X25" s="62">
        <f>AG25</f>
        <v/>
      </c>
      <c r="Y25" s="23" t="n"/>
      <c r="Z25" s="23" t="n"/>
      <c r="AA25" s="23" t="n"/>
      <c r="AB25">
        <f>IFERROR(IF(OR(B25=0,B25=""),0,1),0)</f>
        <v/>
      </c>
      <c r="AC25">
        <f>IFERROR(IF(OR(C25="S",C25="D"),IF(AND(C25="D",D25="F"),1,IF(AND(C25="S",D25="M"),1,0)),IF(OR(C25="W",C25="H"),IF(OR(AND(C25="W",D25="F"),AND(C25="H",D25="M")),1,),IF(OR(D25="M",D25="F"),1,0))),0)</f>
        <v/>
      </c>
      <c r="AD25">
        <f>IFERROR(IF(OR(C25="E",C25="W",C25="H"),1,IF(C25 = "S",IF(D25="M",1,0),IF(D25 = "F",1,0))),0)</f>
        <v/>
      </c>
      <c r="AE25">
        <f>IFERROR(IF(OR(E25="M",E25="S"),IF(E25="M",IF(OR(C25="S",C25 = "D"),0,1),IF(OR(C25="W",C25="H"),0,1)),0),0)</f>
        <v/>
      </c>
      <c r="AF25">
        <f>IF(G25="",-1,IF(AND(G25&lt;=TODAY(),ISNUMBER(DATE(YEAR(G25),MONTH(G25),DAY(G25)))),IF(AND(OR(C25="S",C25="D"),J25&gt;24),-1,1),-1))</f>
        <v/>
      </c>
      <c r="AG25">
        <f>IF(OR(I25="CAT 1",I25="CAT 2",I25="CAT 3",I25="CAT 4"),1,0)</f>
        <v/>
      </c>
      <c r="AH25">
        <f>PRODUCT(AF25:AG25)*AE25</f>
        <v/>
      </c>
    </row>
    <row r="26" customFormat="1" s="12">
      <c r="A26" s="37" t="n">
        <v>25</v>
      </c>
      <c r="B26" s="38" t="n"/>
      <c r="C26" s="39" t="n"/>
      <c r="D26" s="65" t="n"/>
      <c r="E26" s="65" t="n"/>
      <c r="F26" s="39" t="n"/>
      <c r="G26" s="2" t="n"/>
      <c r="H26" s="39" t="n"/>
      <c r="I26" s="39" t="n"/>
      <c r="J26" s="50">
        <f>IFERROR(IF(G26="","",ROUNDDOWN(IF($G26="","",(inception_date-$G26)/365.25),0)),0)</f>
        <v/>
      </c>
      <c r="K26" s="37">
        <f>IF(I26="","",IF($AM$3=1,IFERROR(IF(J26=FALSE,"",VLOOKUP(J26,$AJ$1:$AK$18,2,1)),""),IFERROR(IF(J26 = "FALSE","",VLOOKUP(J26,#REF!,2,TRUE)),"")))</f>
        <v/>
      </c>
      <c r="L26" s="37" t="n"/>
      <c r="M26" s="37" t="n"/>
      <c r="N26" s="37" t="n"/>
      <c r="O26" s="41">
        <f>IF(C26="","",IF(R26=1,"Yes","No"))</f>
        <v/>
      </c>
      <c r="P26" s="51">
        <f>IFERROR(IF(C26="","",IF(AND(Census!C26="E",Census!J26&gt;=18,Census!J26&lt;=65),"Yes","No")),"ERROR")</f>
        <v/>
      </c>
      <c r="Q26" s="52">
        <f>IFERROR(IF(C26="","",IF(AND(Census!C26="E",Census!J26&gt;=18,Census!J26&lt;=64),"Yes","No")),"ERROR")</f>
        <v/>
      </c>
      <c r="R26" s="53">
        <f>IF(OR(AB26&lt;&gt;1,AC26&lt;&gt;1,AD26&lt;&gt;1,AF26&lt;&gt;1,AE26&lt;&gt;1,AG26&lt;&gt;1),-1,1)</f>
        <v/>
      </c>
      <c r="S26" s="54">
        <f>AB26</f>
        <v/>
      </c>
      <c r="T26" s="55">
        <f>AC26</f>
        <v/>
      </c>
      <c r="U26" s="55">
        <f>AD26</f>
        <v/>
      </c>
      <c r="V26" s="55">
        <f>AE26</f>
        <v/>
      </c>
      <c r="W26" s="55">
        <f>AF26</f>
        <v/>
      </c>
      <c r="X26" s="56">
        <f>AG26</f>
        <v/>
      </c>
      <c r="Y26" s="23" t="n"/>
      <c r="Z26" s="23" t="n"/>
      <c r="AA26" s="23" t="n"/>
      <c r="AB26">
        <f>IFERROR(IF(OR(B26=0,B26=""),0,1),0)</f>
        <v/>
      </c>
      <c r="AC26">
        <f>IFERROR(IF(OR(C26="S",C26="D"),IF(AND(C26="D",D26="F"),1,IF(AND(C26="S",D26="M"),1,0)),IF(OR(C26="W",C26="H"),IF(OR(AND(C26="W",D26="F"),AND(C26="H",D26="M")),1,),IF(OR(D26="M",D26="F"),1,0))),0)</f>
        <v/>
      </c>
      <c r="AD26">
        <f>IFERROR(IF(OR(C26="E",C26="W",C26="H"),1,IF(C26 = "S",IF(D26="M",1,0),IF(D26 = "F",1,0))),0)</f>
        <v/>
      </c>
      <c r="AE26">
        <f>IFERROR(IF(OR(E26="M",E26="S"),IF(E26="M",IF(OR(C26="S",C26 = "D"),0,1),IF(OR(C26="W",C26="H"),0,1)),0),0)</f>
        <v/>
      </c>
      <c r="AF26">
        <f>IF(G26="",-1,IF(AND(G26&lt;=TODAY(),ISNUMBER(DATE(YEAR(G26),MONTH(G26),DAY(G26)))),IF(AND(OR(C26="S",C26="D"),J26&gt;24),-1,1),-1))</f>
        <v/>
      </c>
      <c r="AG26">
        <f>IF(OR(I26="CAT 1",I26="CAT 2",I26="CAT 3",I26="CAT 4"),1,0)</f>
        <v/>
      </c>
      <c r="AH26">
        <f>PRODUCT(AF26:AG26)*AE26</f>
        <v/>
      </c>
    </row>
    <row r="27" customFormat="1" s="12">
      <c r="A27" s="42" t="n">
        <v>26</v>
      </c>
      <c r="B27" s="43" t="n"/>
      <c r="C27" s="44" t="n"/>
      <c r="D27" s="17" t="n"/>
      <c r="E27" s="45" t="n"/>
      <c r="F27" s="39" t="n"/>
      <c r="G27" s="3" t="n"/>
      <c r="H27" s="44" t="n"/>
      <c r="I27" s="44" t="n"/>
      <c r="J27" s="42">
        <f>IFERROR(IF(G27="","",ROUNDDOWN(IF($G27="","",(inception_date-$G27)/365.25),0)),0)</f>
        <v/>
      </c>
      <c r="K27" s="42">
        <f>IF(I27="","",IF($AM$3=1,IFERROR(IF(J27=FALSE,"",VLOOKUP(J27,$AJ$1:$AK$18,2,1)),""),IFERROR(IF(J27 = "FALSE","",VLOOKUP(J27,#REF!,2,TRUE)),"")))</f>
        <v/>
      </c>
      <c r="L27" s="42" t="n"/>
      <c r="M27" s="42" t="n"/>
      <c r="N27" s="42" t="n"/>
      <c r="O27" s="46">
        <f>IF(C27="","",IF(R27=1,"Yes","No"))</f>
        <v/>
      </c>
      <c r="P27" s="57">
        <f>IFERROR(IF(C27="","",IF(AND(Census!C27="E",Census!J27&gt;=18,Census!J27&lt;=65),"Yes","No")),"ERROR")</f>
        <v/>
      </c>
      <c r="Q27" s="58">
        <f>IFERROR(IF(C27="","",IF(AND(Census!C27="E",Census!J27&gt;=18,Census!J27&lt;=64),"Yes","No")),"ERROR")</f>
        <v/>
      </c>
      <c r="R27" s="59">
        <f>IF(OR(AB27&lt;&gt;1,AC27&lt;&gt;1,AD27&lt;&gt;1,AF27&lt;&gt;1,AE27&lt;&gt;1,AG27&lt;&gt;1),-1,1)</f>
        <v/>
      </c>
      <c r="S27" s="60">
        <f>AB27</f>
        <v/>
      </c>
      <c r="T27" s="61">
        <f>AC27</f>
        <v/>
      </c>
      <c r="U27" s="61">
        <f>AD27</f>
        <v/>
      </c>
      <c r="V27" s="61">
        <f>AE27</f>
        <v/>
      </c>
      <c r="W27" s="61">
        <f>AF27</f>
        <v/>
      </c>
      <c r="X27" s="62">
        <f>AG27</f>
        <v/>
      </c>
      <c r="Y27" s="23" t="n"/>
      <c r="Z27" s="64" t="n"/>
      <c r="AA27" s="23" t="n"/>
      <c r="AB27">
        <f>IFERROR(IF(OR(B27=0,B27=""),0,1),0)</f>
        <v/>
      </c>
      <c r="AC27">
        <f>IFERROR(IF(OR(C27="S",C27="D"),IF(AND(C27="D",D27="F"),1,IF(AND(C27="S",D27="M"),1,0)),IF(OR(C27="W",C27="H"),IF(OR(AND(C27="W",D27="F"),AND(C27="H",D27="M")),1,),IF(OR(D27="M",D27="F"),1,0))),0)</f>
        <v/>
      </c>
      <c r="AD27">
        <f>IFERROR(IF(OR(C27="E",C27="W",C27="H"),1,IF(C27 = "S",IF(D27="M",1,0),IF(D27 = "F",1,0))),0)</f>
        <v/>
      </c>
      <c r="AE27">
        <f>IFERROR(IF(OR(E27="M",E27="S"),IF(E27="M",IF(OR(C27="S",C27 = "D"),0,1),IF(OR(C27="W",C27="H"),0,1)),0),0)</f>
        <v/>
      </c>
      <c r="AF27">
        <f>IF(G27="",-1,IF(AND(G27&lt;=TODAY(),ISNUMBER(DATE(YEAR(G27),MONTH(G27),DAY(G27)))),IF(AND(OR(C27="S",C27="D"),J27&gt;24),-1,1),-1))</f>
        <v/>
      </c>
      <c r="AG27">
        <f>IF(OR(I27="CAT 1",I27="CAT 2",I27="CAT 3",I27="CAT 4"),1,0)</f>
        <v/>
      </c>
      <c r="AH27">
        <f>PRODUCT(AF27:AG27)*AE27</f>
        <v/>
      </c>
    </row>
    <row r="28" customFormat="1" s="12">
      <c r="A28" s="37" t="n">
        <v>27</v>
      </c>
      <c r="B28" s="38" t="n"/>
      <c r="C28" s="39" t="n"/>
      <c r="D28" s="65" t="n"/>
      <c r="E28" s="65" t="n"/>
      <c r="F28" s="39" t="n"/>
      <c r="G28" s="2" t="n"/>
      <c r="H28" s="39" t="n"/>
      <c r="I28" s="39" t="n"/>
      <c r="J28" s="50">
        <f>IFERROR(IF(G28="","",ROUNDDOWN(IF($G28="","",(inception_date-$G28)/365.25),0)),0)</f>
        <v/>
      </c>
      <c r="K28" s="37">
        <f>IF(I28="","",IF($AM$3=1,IFERROR(IF(J28=FALSE,"",VLOOKUP(J28,$AJ$1:$AK$18,2,1)),""),IFERROR(IF(J28 = "FALSE","",VLOOKUP(J28,#REF!,2,TRUE)),"")))</f>
        <v/>
      </c>
      <c r="L28" s="37" t="n"/>
      <c r="M28" s="37" t="n"/>
      <c r="N28" s="37" t="n"/>
      <c r="O28" s="41">
        <f>IF(C28="","",IF(R28=1,"Yes","No"))</f>
        <v/>
      </c>
      <c r="P28" s="51">
        <f>IFERROR(IF(C28="","",IF(AND(Census!C28="E",Census!J28&gt;=18,Census!J28&lt;=65),"Yes","No")),"ERROR")</f>
        <v/>
      </c>
      <c r="Q28" s="52">
        <f>IFERROR(IF(C28="","",IF(AND(Census!C28="E",Census!J28&gt;=18,Census!J28&lt;=64),"Yes","No")),"ERROR")</f>
        <v/>
      </c>
      <c r="R28" s="53">
        <f>IF(OR(AB28&lt;&gt;1,AC28&lt;&gt;1,AD28&lt;&gt;1,AF28&lt;&gt;1,AE28&lt;&gt;1,AG28&lt;&gt;1),-1,1)</f>
        <v/>
      </c>
      <c r="S28" s="54">
        <f>AB28</f>
        <v/>
      </c>
      <c r="T28" s="55">
        <f>AC28</f>
        <v/>
      </c>
      <c r="U28" s="55">
        <f>AD28</f>
        <v/>
      </c>
      <c r="V28" s="55">
        <f>AE28</f>
        <v/>
      </c>
      <c r="W28" s="55">
        <f>AF28</f>
        <v/>
      </c>
      <c r="X28" s="56">
        <f>AG28</f>
        <v/>
      </c>
      <c r="Y28" s="23" t="n"/>
      <c r="Z28" s="64" t="n"/>
      <c r="AA28" s="23" t="n"/>
      <c r="AB28">
        <f>IFERROR(IF(OR(B28=0,B28=""),0,1),0)</f>
        <v/>
      </c>
      <c r="AC28">
        <f>IFERROR(IF(OR(C28="S",C28="D"),IF(AND(C28="D",D28="F"),1,IF(AND(C28="S",D28="M"),1,0)),IF(OR(C28="W",C28="H"),IF(OR(AND(C28="W",D28="F"),AND(C28="H",D28="M")),1,),IF(OR(D28="M",D28="F"),1,0))),0)</f>
        <v/>
      </c>
      <c r="AD28">
        <f>IFERROR(IF(OR(C28="E",C28="W",C28="H"),1,IF(C28 = "S",IF(D28="M",1,0),IF(D28 = "F",1,0))),0)</f>
        <v/>
      </c>
      <c r="AE28">
        <f>IFERROR(IF(OR(E28="M",E28="S"),IF(E28="M",IF(OR(C28="S",C28 = "D"),0,1),IF(OR(C28="W",C28="H"),0,1)),0),0)</f>
        <v/>
      </c>
      <c r="AF28">
        <f>IF(G28="",-1,IF(AND(G28&lt;=TODAY(),ISNUMBER(DATE(YEAR(G28),MONTH(G28),DAY(G28)))),IF(AND(OR(C28="S",C28="D"),J28&gt;24),-1,1),-1))</f>
        <v/>
      </c>
      <c r="AG28">
        <f>IF(OR(I28="CAT 1",I28="CAT 2",I28="CAT 3",I28="CAT 4"),1,0)</f>
        <v/>
      </c>
      <c r="AH28">
        <f>PRODUCT(AF28:AG28)*AE28</f>
        <v/>
      </c>
    </row>
    <row r="29" customFormat="1" s="12">
      <c r="A29" s="42" t="n">
        <v>28</v>
      </c>
      <c r="B29" s="43" t="n"/>
      <c r="C29" s="44" t="n"/>
      <c r="D29" s="17" t="n"/>
      <c r="E29" s="17" t="n"/>
      <c r="F29" s="39" t="n"/>
      <c r="G29" s="3" t="n"/>
      <c r="H29" s="44" t="n"/>
      <c r="I29" s="44" t="n"/>
      <c r="J29" s="42">
        <f>IFERROR(IF(G29="","",ROUNDDOWN(IF($G29="","",(inception_date-$G29)/365.25),0)),0)</f>
        <v/>
      </c>
      <c r="K29" s="42">
        <f>IF(I29="","",IF($AM$3=1,IFERROR(IF(J29=FALSE,"",VLOOKUP(J29,$AJ$1:$AK$18,2,1)),""),IFERROR(IF(J29 = "FALSE","",VLOOKUP(J29,#REF!,2,TRUE)),"")))</f>
        <v/>
      </c>
      <c r="L29" s="42" t="n"/>
      <c r="M29" s="42" t="n"/>
      <c r="N29" s="42" t="n"/>
      <c r="O29" s="46">
        <f>IF(C29="","",IF(R29=1,"Yes","No"))</f>
        <v/>
      </c>
      <c r="P29" s="57">
        <f>IFERROR(IF(C29="","",IF(AND(Census!C29="E",Census!J29&gt;=18,Census!J29&lt;=65),"Yes","No")),"ERROR")</f>
        <v/>
      </c>
      <c r="Q29" s="58">
        <f>IFERROR(IF(C29="","",IF(AND(Census!C29="E",Census!J29&gt;=18,Census!J29&lt;=64),"Yes","No")),"ERROR")</f>
        <v/>
      </c>
      <c r="R29" s="59">
        <f>IF(OR(AB29&lt;&gt;1,AC29&lt;&gt;1,AD29&lt;&gt;1,AF29&lt;&gt;1,AE29&lt;&gt;1,AG29&lt;&gt;1),-1,1)</f>
        <v/>
      </c>
      <c r="S29" s="60">
        <f>AB29</f>
        <v/>
      </c>
      <c r="T29" s="61">
        <f>AC29</f>
        <v/>
      </c>
      <c r="U29" s="61">
        <f>AD29</f>
        <v/>
      </c>
      <c r="V29" s="61">
        <f>AE29</f>
        <v/>
      </c>
      <c r="W29" s="61">
        <f>AF29</f>
        <v/>
      </c>
      <c r="X29" s="62">
        <f>AG29</f>
        <v/>
      </c>
      <c r="Y29" s="23" t="n"/>
      <c r="Z29" s="64" t="n"/>
      <c r="AA29" s="23" t="n"/>
      <c r="AB29">
        <f>IFERROR(IF(OR(B29=0,B29=""),0,1),0)</f>
        <v/>
      </c>
      <c r="AC29">
        <f>IFERROR(IF(OR(C29="S",C29="D"),IF(AND(C29="D",D29="F"),1,IF(AND(C29="S",D29="M"),1,0)),IF(OR(C29="W",C29="H"),IF(OR(AND(C29="W",D29="F"),AND(C29="H",D29="M")),1,),IF(OR(D29="M",D29="F"),1,0))),0)</f>
        <v/>
      </c>
      <c r="AD29">
        <f>IFERROR(IF(OR(C29="E",C29="W",C29="H"),1,IF(C29 = "S",IF(D29="M",1,0),IF(D29 = "F",1,0))),0)</f>
        <v/>
      </c>
      <c r="AE29">
        <f>IFERROR(IF(OR(E29="M",E29="S"),IF(E29="M",IF(OR(C29="S",C29 = "D"),0,1),IF(OR(C29="W",C29="H"),0,1)),0),0)</f>
        <v/>
      </c>
      <c r="AF29">
        <f>IF(G29="",-1,IF(AND(G29&lt;=TODAY(),ISNUMBER(DATE(YEAR(G29),MONTH(G29),DAY(G29)))),IF(AND(OR(C29="S",C29="D"),J29&gt;24),-1,1),-1))</f>
        <v/>
      </c>
      <c r="AG29">
        <f>IF(OR(I29="CAT 1",I29="CAT 2",I29="CAT 3",I29="CAT 4"),1,0)</f>
        <v/>
      </c>
      <c r="AH29">
        <f>PRODUCT(AF29:AG29)*AE29</f>
        <v/>
      </c>
    </row>
    <row r="30" customFormat="1" s="12">
      <c r="A30" s="37" t="n">
        <v>29</v>
      </c>
      <c r="B30" s="38" t="n"/>
      <c r="C30" s="39" t="n"/>
      <c r="D30" s="65" t="n"/>
      <c r="E30" s="40" t="n"/>
      <c r="F30" s="39" t="n"/>
      <c r="G30" s="2" t="n"/>
      <c r="H30" s="39" t="n"/>
      <c r="I30" s="39" t="n"/>
      <c r="J30" s="50">
        <f>IFERROR(IF(G30="","",ROUNDDOWN(IF($G30="","",(inception_date-$G30)/365.25),0)),0)</f>
        <v/>
      </c>
      <c r="K30" s="37">
        <f>IF(I30="","",IF($AM$3=1,IFERROR(IF(J30=FALSE,"",VLOOKUP(J30,$AJ$1:$AK$18,2,1)),""),IFERROR(IF(J30 = "FALSE","",VLOOKUP(J30,#REF!,2,TRUE)),"")))</f>
        <v/>
      </c>
      <c r="L30" s="37" t="n"/>
      <c r="M30" s="37" t="n"/>
      <c r="N30" s="37" t="n"/>
      <c r="O30" s="41">
        <f>IF(C30="","",IF(R30=1,"Yes","No"))</f>
        <v/>
      </c>
      <c r="P30" s="51">
        <f>IFERROR(IF(C30="","",IF(AND(Census!C30="E",Census!J30&gt;=18,Census!J30&lt;=65),"Yes","No")),"ERROR")</f>
        <v/>
      </c>
      <c r="Q30" s="52">
        <f>IFERROR(IF(C30="","",IF(AND(Census!C30="E",Census!J30&gt;=18,Census!J30&lt;=64),"Yes","No")),"ERROR")</f>
        <v/>
      </c>
      <c r="R30" s="53">
        <f>IF(OR(AB30&lt;&gt;1,AC30&lt;&gt;1,AD30&lt;&gt;1,AF30&lt;&gt;1,AE30&lt;&gt;1,AG30&lt;&gt;1),-1,1)</f>
        <v/>
      </c>
      <c r="S30" s="54">
        <f>AB30</f>
        <v/>
      </c>
      <c r="T30" s="55">
        <f>AC30</f>
        <v/>
      </c>
      <c r="U30" s="55">
        <f>AD30</f>
        <v/>
      </c>
      <c r="V30" s="55">
        <f>AE30</f>
        <v/>
      </c>
      <c r="W30" s="55">
        <f>AF30</f>
        <v/>
      </c>
      <c r="X30" s="56">
        <f>AG30</f>
        <v/>
      </c>
      <c r="Y30" s="23" t="n"/>
      <c r="Z30" s="64" t="n"/>
      <c r="AA30" s="23" t="n"/>
      <c r="AB30">
        <f>IFERROR(IF(OR(B30=0,B30=""),0,1),0)</f>
        <v/>
      </c>
      <c r="AC30">
        <f>IFERROR(IF(OR(C30="S",C30="D"),IF(AND(C30="D",D30="F"),1,IF(AND(C30="S",D30="M"),1,0)),IF(OR(C30="W",C30="H"),IF(OR(AND(C30="W",D30="F"),AND(C30="H",D30="M")),1,),IF(OR(D30="M",D30="F"),1,0))),0)</f>
        <v/>
      </c>
      <c r="AD30">
        <f>IFERROR(IF(OR(C30="E",C30="W",C30="H"),1,IF(C30 = "S",IF(D30="M",1,0),IF(D30 = "F",1,0))),0)</f>
        <v/>
      </c>
      <c r="AE30">
        <f>IFERROR(IF(OR(E30="M",E30="S"),IF(E30="M",IF(OR(C30="S",C30 = "D"),0,1),IF(OR(C30="W",C30="H"),0,1)),0),0)</f>
        <v/>
      </c>
      <c r="AF30">
        <f>IF(G30="",-1,IF(AND(G30&lt;=TODAY(),ISNUMBER(DATE(YEAR(G30),MONTH(G30),DAY(G30)))),IF(AND(OR(C30="S",C30="D"),J30&gt;24),-1,1),-1))</f>
        <v/>
      </c>
      <c r="AG30">
        <f>IF(OR(I30="CAT 1",I30="CAT 2",I30="CAT 3",I30="CAT 4"),1,0)</f>
        <v/>
      </c>
      <c r="AH30">
        <f>PRODUCT(AF30:AG30)*AE30</f>
        <v/>
      </c>
    </row>
    <row r="31" customFormat="1" s="12">
      <c r="A31" s="42" t="n">
        <v>30</v>
      </c>
      <c r="B31" s="43" t="n"/>
      <c r="C31" s="44" t="n"/>
      <c r="D31" s="17" t="n"/>
      <c r="E31" s="17" t="n"/>
      <c r="F31" s="39" t="n"/>
      <c r="G31" s="3" t="n"/>
      <c r="H31" s="44" t="n"/>
      <c r="I31" s="44" t="n"/>
      <c r="J31" s="42">
        <f>IFERROR(IF(G31="","",ROUNDDOWN(IF($G31="","",(inception_date-$G31)/365.25),0)),0)</f>
        <v/>
      </c>
      <c r="K31" s="42">
        <f>IF(I31="","",IF($AM$3=1,IFERROR(IF(J31=FALSE,"",VLOOKUP(J31,$AJ$1:$AK$18,2,1)),""),IFERROR(IF(J31 = "FALSE","",VLOOKUP(J31,#REF!,2,TRUE)),"")))</f>
        <v/>
      </c>
      <c r="L31" s="42" t="n"/>
      <c r="M31" s="42" t="n"/>
      <c r="N31" s="42" t="n"/>
      <c r="O31" s="46">
        <f>IF(C31="","",IF(R31=1,"Yes","No"))</f>
        <v/>
      </c>
      <c r="P31" s="57">
        <f>IFERROR(IF(C31="","",IF(AND(Census!C31="E",Census!J31&gt;=18,Census!J31&lt;=65),"Yes","No")),"ERROR")</f>
        <v/>
      </c>
      <c r="Q31" s="58">
        <f>IFERROR(IF(C31="","",IF(AND(Census!C31="E",Census!J31&gt;=18,Census!J31&lt;=64),"Yes","No")),"ERROR")</f>
        <v/>
      </c>
      <c r="R31" s="59">
        <f>IF(OR(AB31&lt;&gt;1,AC31&lt;&gt;1,AD31&lt;&gt;1,AF31&lt;&gt;1,AE31&lt;&gt;1,AG31&lt;&gt;1),-1,1)</f>
        <v/>
      </c>
      <c r="S31" s="60">
        <f>AB31</f>
        <v/>
      </c>
      <c r="T31" s="61">
        <f>AC31</f>
        <v/>
      </c>
      <c r="U31" s="61">
        <f>AD31</f>
        <v/>
      </c>
      <c r="V31" s="61">
        <f>AE31</f>
        <v/>
      </c>
      <c r="W31" s="61">
        <f>AF31</f>
        <v/>
      </c>
      <c r="X31" s="62">
        <f>AG31</f>
        <v/>
      </c>
      <c r="Y31" s="23" t="n"/>
      <c r="Z31" s="64" t="inlineStr">
        <is>
          <t>Afghan</t>
        </is>
      </c>
      <c r="AA31" s="23" t="n"/>
      <c r="AB31">
        <f>IFERROR(IF(OR(B31=0,B31=""),0,1),0)</f>
        <v/>
      </c>
      <c r="AC31">
        <f>IFERROR(IF(OR(C31="S",C31="D"),IF(AND(C31="D",D31="F"),1,IF(AND(C31="S",D31="M"),1,0)),IF(OR(C31="W",C31="H"),IF(OR(AND(C31="W",D31="F"),AND(C31="H",D31="M")),1,),IF(OR(D31="M",D31="F"),1,0))),0)</f>
        <v/>
      </c>
      <c r="AD31">
        <f>IFERROR(IF(OR(C31="E",C31="W",C31="H"),1,IF(C31 = "S",IF(D31="M",1,0),IF(D31 = "F",1,0))),0)</f>
        <v/>
      </c>
      <c r="AE31">
        <f>IFERROR(IF(OR(E31="M",E31="S"),IF(E31="M",IF(OR(C31="S",C31 = "D"),0,1),IF(OR(C31="W",C31="H"),0,1)),0),0)</f>
        <v/>
      </c>
      <c r="AF31">
        <f>IF(G31="",-1,IF(AND(G31&lt;=TODAY(),ISNUMBER(DATE(YEAR(G31),MONTH(G31),DAY(G31)))),IF(AND(OR(C31="S",C31="D"),J31&gt;24),-1,1),-1))</f>
        <v/>
      </c>
      <c r="AG31">
        <f>IF(OR(I31="CAT 1",I31="CAT 2",I31="CAT 3",I31="CAT 4"),1,0)</f>
        <v/>
      </c>
      <c r="AH31">
        <f>PRODUCT(AF31:AG31)*AE31</f>
        <v/>
      </c>
    </row>
    <row r="32" customFormat="1" s="12">
      <c r="A32" s="37" t="n">
        <v>31</v>
      </c>
      <c r="B32" s="38" t="n"/>
      <c r="C32" s="39" t="n"/>
      <c r="D32" s="65" t="n"/>
      <c r="E32" s="40" t="n"/>
      <c r="F32" s="39" t="n"/>
      <c r="G32" s="2" t="n"/>
      <c r="H32" s="39" t="n"/>
      <c r="I32" s="39" t="n"/>
      <c r="J32" s="50">
        <f>IFERROR(IF(G32="","",ROUNDDOWN(IF($G32="","",(inception_date-$G32)/365.25),0)),0)</f>
        <v/>
      </c>
      <c r="K32" s="37">
        <f>IF(I32="","",IF($AM$3=1,IFERROR(IF(J32=FALSE,"",VLOOKUP(J32,$AJ$1:$AK$18,2,1)),""),IFERROR(IF(J32 = "FALSE","",VLOOKUP(J32,#REF!,2,TRUE)),"")))</f>
        <v/>
      </c>
      <c r="L32" s="37" t="n"/>
      <c r="M32" s="37" t="n"/>
      <c r="N32" s="37" t="n"/>
      <c r="O32" s="41">
        <f>IF(C32="","",IF(R32=1,"Yes","No"))</f>
        <v/>
      </c>
      <c r="P32" s="51">
        <f>IFERROR(IF(C32="","",IF(AND(Census!C32="E",Census!J32&gt;=18,Census!J32&lt;=65),"Yes","No")),"ERROR")</f>
        <v/>
      </c>
      <c r="Q32" s="52">
        <f>IFERROR(IF(C32="","",IF(AND(Census!C32="E",Census!J32&gt;=18,Census!J32&lt;=64),"Yes","No")),"ERROR")</f>
        <v/>
      </c>
      <c r="R32" s="53">
        <f>IF(OR(AB32&lt;&gt;1,AC32&lt;&gt;1,AD32&lt;&gt;1,AF32&lt;&gt;1,AE32&lt;&gt;1,AG32&lt;&gt;1),-1,1)</f>
        <v/>
      </c>
      <c r="S32" s="54">
        <f>AB32</f>
        <v/>
      </c>
      <c r="T32" s="55">
        <f>AC32</f>
        <v/>
      </c>
      <c r="U32" s="55">
        <f>AD32</f>
        <v/>
      </c>
      <c r="V32" s="55">
        <f>AE32</f>
        <v/>
      </c>
      <c r="W32" s="55">
        <f>AF32</f>
        <v/>
      </c>
      <c r="X32" s="56">
        <f>AG32</f>
        <v/>
      </c>
      <c r="Y32" s="23" t="n"/>
      <c r="Z32" s="64" t="inlineStr">
        <is>
          <t>African Countries</t>
        </is>
      </c>
      <c r="AA32" s="23" t="n"/>
      <c r="AB32">
        <f>IFERROR(IF(OR(B32=0,B32=""),0,1),0)</f>
        <v/>
      </c>
      <c r="AC32">
        <f>IFERROR(IF(OR(C32="S",C32="D"),IF(AND(C32="D",D32="F"),1,IF(AND(C32="S",D32="M"),1,0)),IF(OR(C32="W",C32="H"),IF(OR(AND(C32="W",D32="F"),AND(C32="H",D32="M")),1,),IF(OR(D32="M",D32="F"),1,0))),0)</f>
        <v/>
      </c>
      <c r="AD32">
        <f>IFERROR(IF(OR(C32="E",C32="W",C32="H"),1,IF(C32 = "S",IF(D32="M",1,0),IF(D32 = "F",1,0))),0)</f>
        <v/>
      </c>
      <c r="AE32">
        <f>IFERROR(IF(OR(E32="M",E32="S"),IF(E32="M",IF(OR(C32="S",C32 = "D"),0,1),IF(OR(C32="W",C32="H"),0,1)),0),0)</f>
        <v/>
      </c>
      <c r="AF32">
        <f>IF(G32="",-1,IF(AND(G32&lt;=TODAY(),ISNUMBER(DATE(YEAR(G32),MONTH(G32),DAY(G32)))),IF(AND(OR(C32="S",C32="D"),J32&gt;24),-1,1),-1))</f>
        <v/>
      </c>
      <c r="AG32">
        <f>IF(OR(I32="CAT 1",I32="CAT 2",I32="CAT 3",I32="CAT 4"),1,0)</f>
        <v/>
      </c>
      <c r="AH32">
        <f>PRODUCT(AF32:AG32)*AE32</f>
        <v/>
      </c>
    </row>
    <row r="33" customFormat="1" s="12">
      <c r="A33" s="42" t="n">
        <v>32</v>
      </c>
      <c r="B33" s="43" t="n"/>
      <c r="C33" s="44" t="n"/>
      <c r="D33" s="17" t="n"/>
      <c r="E33" s="45" t="n"/>
      <c r="F33" s="39" t="n"/>
      <c r="G33" s="3" t="n"/>
      <c r="H33" s="44" t="n"/>
      <c r="I33" s="44" t="n"/>
      <c r="J33" s="42">
        <f>IFERROR(IF(G33="","",ROUNDDOWN(IF($G33="","",(inception_date-$G33)/365.25),0)),0)</f>
        <v/>
      </c>
      <c r="K33" s="42">
        <f>IF(I33="","",IF($AM$3=1,IFERROR(IF(J33=FALSE,"",VLOOKUP(J33,$AJ$1:$AK$18,2,1)),""),IFERROR(IF(J33 = "FALSE","",VLOOKUP(J33,#REF!,2,TRUE)),"")))</f>
        <v/>
      </c>
      <c r="L33" s="42" t="n"/>
      <c r="M33" s="42" t="n"/>
      <c r="N33" s="42" t="n"/>
      <c r="O33" s="46">
        <f>IF(C33="","",IF(R33=1,"Yes","No"))</f>
        <v/>
      </c>
      <c r="P33" s="57">
        <f>IFERROR(IF(C33="","",IF(AND(Census!C33="E",Census!J33&gt;=18,Census!J33&lt;=65),"Yes","No")),"ERROR")</f>
        <v/>
      </c>
      <c r="Q33" s="58">
        <f>IFERROR(IF(C33="","",IF(AND(Census!C33="E",Census!J33&gt;=18,Census!J33&lt;=64),"Yes","No")),"ERROR")</f>
        <v/>
      </c>
      <c r="R33" s="59">
        <f>IF(OR(AB33&lt;&gt;1,AC33&lt;&gt;1,AD33&lt;&gt;1,AF33&lt;&gt;1,AE33&lt;&gt;1,AG33&lt;&gt;1),-1,1)</f>
        <v/>
      </c>
      <c r="S33" s="60">
        <f>AB33</f>
        <v/>
      </c>
      <c r="T33" s="61">
        <f>AC33</f>
        <v/>
      </c>
      <c r="U33" s="61">
        <f>AD33</f>
        <v/>
      </c>
      <c r="V33" s="61">
        <f>AE33</f>
        <v/>
      </c>
      <c r="W33" s="61">
        <f>AF33</f>
        <v/>
      </c>
      <c r="X33" s="62">
        <f>AG33</f>
        <v/>
      </c>
      <c r="Y33" s="23" t="n"/>
      <c r="Z33" s="64" t="inlineStr">
        <is>
          <t>Albanian</t>
        </is>
      </c>
      <c r="AA33" s="23" t="n"/>
      <c r="AB33">
        <f>IFERROR(IF(OR(B33=0,B33=""),0,1),0)</f>
        <v/>
      </c>
      <c r="AC33">
        <f>IFERROR(IF(OR(C33="S",C33="D"),IF(AND(C33="D",D33="F"),1,IF(AND(C33="S",D33="M"),1,0)),IF(OR(C33="W",C33="H"),IF(OR(AND(C33="W",D33="F"),AND(C33="H",D33="M")),1,),IF(OR(D33="M",D33="F"),1,0))),0)</f>
        <v/>
      </c>
      <c r="AD33">
        <f>IFERROR(IF(OR(C33="E",C33="W",C33="H"),1,IF(C33 = "S",IF(D33="M",1,0),IF(D33 = "F",1,0))),0)</f>
        <v/>
      </c>
      <c r="AE33">
        <f>IFERROR(IF(OR(E33="M",E33="S"),IF(E33="M",IF(OR(C33="S",C33 = "D"),0,1),IF(OR(C33="W",C33="H"),0,1)),0),0)</f>
        <v/>
      </c>
      <c r="AF33">
        <f>IF(G33="",-1,IF(AND(G33&lt;=TODAY(),ISNUMBER(DATE(YEAR(G33),MONTH(G33),DAY(G33)))),IF(AND(OR(C33="S",C33="D"),J33&gt;24),-1,1),-1))</f>
        <v/>
      </c>
      <c r="AG33">
        <f>IF(OR(I33="CAT 1",I33="CAT 2",I33="CAT 3",I33="CAT 4"),1,0)</f>
        <v/>
      </c>
      <c r="AH33">
        <f>PRODUCT(AF33:AG33)*AE33</f>
        <v/>
      </c>
    </row>
    <row r="34" customFormat="1" s="12">
      <c r="A34" s="37" t="n">
        <v>33</v>
      </c>
      <c r="B34" s="38" t="n"/>
      <c r="C34" s="39" t="n"/>
      <c r="D34" s="65" t="n"/>
      <c r="E34" s="65" t="n"/>
      <c r="F34" s="39" t="n"/>
      <c r="G34" s="2" t="n"/>
      <c r="H34" s="39" t="n"/>
      <c r="I34" s="39" t="n"/>
      <c r="J34" s="50">
        <f>IFERROR(IF(G34="","",ROUNDDOWN(IF($G34="","",(inception_date-$G34)/365.25),0)),0)</f>
        <v/>
      </c>
      <c r="K34" s="37">
        <f>IF(I34="","",IF($AM$3=1,IFERROR(IF(J34=FALSE,"",VLOOKUP(J34,$AJ$1:$AK$18,2,1)),""),IFERROR(IF(J34 = "FALSE","",VLOOKUP(J34,#REF!,2,TRUE)),"")))</f>
        <v/>
      </c>
      <c r="L34" s="37" t="n"/>
      <c r="M34" s="37" t="n"/>
      <c r="N34" s="37" t="n"/>
      <c r="O34" s="41">
        <f>IF(C34="","",IF(R34=1,"Yes","No"))</f>
        <v/>
      </c>
      <c r="P34" s="51">
        <f>IFERROR(IF(C34="","",IF(AND(Census!C34="E",Census!J34&gt;=18,Census!J34&lt;=65),"Yes","No")),"ERROR")</f>
        <v/>
      </c>
      <c r="Q34" s="52">
        <f>IFERROR(IF(C34="","",IF(AND(Census!C34="E",Census!J34&gt;=18,Census!J34&lt;=64),"Yes","No")),"ERROR")</f>
        <v/>
      </c>
      <c r="R34" s="53">
        <f>IF(OR(AB34&lt;&gt;1,AC34&lt;&gt;1,AD34&lt;&gt;1,AF34&lt;&gt;1,AE34&lt;&gt;1,AG34&lt;&gt;1),-1,1)</f>
        <v/>
      </c>
      <c r="S34" s="54">
        <f>AB34</f>
        <v/>
      </c>
      <c r="T34" s="55">
        <f>AC34</f>
        <v/>
      </c>
      <c r="U34" s="55">
        <f>AD34</f>
        <v/>
      </c>
      <c r="V34" s="55">
        <f>AE34</f>
        <v/>
      </c>
      <c r="W34" s="55">
        <f>AF34</f>
        <v/>
      </c>
      <c r="X34" s="56">
        <f>AG34</f>
        <v/>
      </c>
      <c r="Y34" s="23" t="n"/>
      <c r="Z34" s="64" t="inlineStr">
        <is>
          <t>Algerian</t>
        </is>
      </c>
      <c r="AA34" s="23" t="n"/>
      <c r="AB34">
        <f>IFERROR(IF(OR(B34=0,B34=""),0,1),0)</f>
        <v/>
      </c>
      <c r="AC34">
        <f>IFERROR(IF(OR(C34="S",C34="D"),IF(AND(C34="D",D34="F"),1,IF(AND(C34="S",D34="M"),1,0)),IF(OR(C34="W",C34="H"),IF(OR(AND(C34="W",D34="F"),AND(C34="H",D34="M")),1,),IF(OR(D34="M",D34="F"),1,0))),0)</f>
        <v/>
      </c>
      <c r="AD34">
        <f>IFERROR(IF(OR(C34="E",C34="W",C34="H"),1,IF(C34 = "S",IF(D34="M",1,0),IF(D34 = "F",1,0))),0)</f>
        <v/>
      </c>
      <c r="AE34">
        <f>IFERROR(IF(OR(E34="M",E34="S"),IF(E34="M",IF(OR(C34="S",C34 = "D"),0,1),IF(OR(C34="W",C34="H"),0,1)),0),0)</f>
        <v/>
      </c>
      <c r="AF34">
        <f>IF(G34="",-1,IF(AND(G34&lt;=TODAY(),ISNUMBER(DATE(YEAR(G34),MONTH(G34),DAY(G34)))),IF(AND(OR(C34="S",C34="D"),J34&gt;24),-1,1),-1))</f>
        <v/>
      </c>
      <c r="AG34">
        <f>IF(OR(I34="CAT 1",I34="CAT 2",I34="CAT 3",I34="CAT 4"),1,0)</f>
        <v/>
      </c>
      <c r="AH34">
        <f>PRODUCT(AF34:AG34)*AE34</f>
        <v/>
      </c>
    </row>
    <row r="35" customFormat="1" s="12">
      <c r="A35" s="42" t="n">
        <v>34</v>
      </c>
      <c r="B35" s="43" t="n"/>
      <c r="C35" s="44" t="n"/>
      <c r="D35" s="17" t="n"/>
      <c r="E35" s="17" t="n"/>
      <c r="F35" s="39" t="n"/>
      <c r="G35" s="3" t="n"/>
      <c r="H35" s="44" t="n"/>
      <c r="I35" s="44" t="n"/>
      <c r="J35" s="42">
        <f>IFERROR(IF(G35="","",ROUNDDOWN(IF($G35="","",(inception_date-$G35)/365.25),0)),0)</f>
        <v/>
      </c>
      <c r="K35" s="42">
        <f>IF(I35="","",IF($AM$3=1,IFERROR(IF(J35=FALSE,"",VLOOKUP(J35,$AJ$1:$AK$18,2,1)),""),IFERROR(IF(J35 = "FALSE","",VLOOKUP(J35,#REF!,2,TRUE)),"")))</f>
        <v/>
      </c>
      <c r="L35" s="42" t="n"/>
      <c r="M35" s="42" t="n"/>
      <c r="N35" s="42" t="n"/>
      <c r="O35" s="46">
        <f>IF(C35="","",IF(R35=1,"Yes","No"))</f>
        <v/>
      </c>
      <c r="P35" s="57">
        <f>IFERROR(IF(C35="","",IF(AND(Census!C35="E",Census!J35&gt;=18,Census!J35&lt;=65),"Yes","No")),"ERROR")</f>
        <v/>
      </c>
      <c r="Q35" s="58">
        <f>IFERROR(IF(C35="","",IF(AND(Census!C35="E",Census!J35&gt;=18,Census!J35&lt;=64),"Yes","No")),"ERROR")</f>
        <v/>
      </c>
      <c r="R35" s="59">
        <f>IF(OR(AB35&lt;&gt;1,AC35&lt;&gt;1,AD35&lt;&gt;1,AF35&lt;&gt;1,AE35&lt;&gt;1,AG35&lt;&gt;1),-1,1)</f>
        <v/>
      </c>
      <c r="S35" s="60">
        <f>AB35</f>
        <v/>
      </c>
      <c r="T35" s="61">
        <f>AC35</f>
        <v/>
      </c>
      <c r="U35" s="61">
        <f>AD35</f>
        <v/>
      </c>
      <c r="V35" s="61">
        <f>AE35</f>
        <v/>
      </c>
      <c r="W35" s="61">
        <f>AF35</f>
        <v/>
      </c>
      <c r="X35" s="62">
        <f>AG35</f>
        <v/>
      </c>
      <c r="Y35" s="23" t="n"/>
      <c r="Z35" s="64" t="inlineStr">
        <is>
          <t>American</t>
        </is>
      </c>
      <c r="AA35" s="23" t="n"/>
      <c r="AB35">
        <f>IFERROR(IF(OR(B35=0,B35=""),0,1),0)</f>
        <v/>
      </c>
      <c r="AC35">
        <f>IFERROR(IF(OR(C35="S",C35="D"),IF(AND(C35="D",D35="F"),1,IF(AND(C35="S",D35="M"),1,0)),IF(OR(C35="W",C35="H"),IF(OR(AND(C35="W",D35="F"),AND(C35="H",D35="M")),1,),IF(OR(D35="M",D35="F"),1,0))),0)</f>
        <v/>
      </c>
      <c r="AD35">
        <f>IFERROR(IF(OR(C35="E",C35="W",C35="H"),1,IF(C35 = "S",IF(D35="M",1,0),IF(D35 = "F",1,0))),0)</f>
        <v/>
      </c>
      <c r="AE35">
        <f>IFERROR(IF(OR(E35="M",E35="S"),IF(E35="M",IF(OR(C35="S",C35 = "D"),0,1),IF(OR(C35="W",C35="H"),0,1)),0),0)</f>
        <v/>
      </c>
      <c r="AF35">
        <f>IF(G35="",-1,IF(AND(G35&lt;=TODAY(),ISNUMBER(DATE(YEAR(G35),MONTH(G35),DAY(G35)))),IF(AND(OR(C35="S",C35="D"),J35&gt;24),-1,1),-1))</f>
        <v/>
      </c>
      <c r="AG35">
        <f>IF(OR(I35="CAT 1",I35="CAT 2",I35="CAT 3",I35="CAT 4"),1,0)</f>
        <v/>
      </c>
      <c r="AH35">
        <f>PRODUCT(AF35:AG35)*AE35</f>
        <v/>
      </c>
    </row>
    <row r="36" customFormat="1" s="12">
      <c r="A36" s="37" t="n">
        <v>35</v>
      </c>
      <c r="B36" s="38" t="n"/>
      <c r="C36" s="39" t="n"/>
      <c r="D36" s="65" t="n"/>
      <c r="E36" s="40" t="n"/>
      <c r="F36" s="39" t="n"/>
      <c r="G36" s="2" t="n"/>
      <c r="H36" s="39" t="n"/>
      <c r="I36" s="39" t="n"/>
      <c r="J36" s="50">
        <f>IFERROR(IF(G36="","",ROUNDDOWN(IF($G36="","",(inception_date-$G36)/365.25),0)),0)</f>
        <v/>
      </c>
      <c r="K36" s="37">
        <f>IF(I36="","",IF($AM$3=1,IFERROR(IF(J36=FALSE,"",VLOOKUP(J36,$AJ$1:$AK$18,2,1)),""),IFERROR(IF(J36 = "FALSE","",VLOOKUP(J36,#REF!,2,TRUE)),"")))</f>
        <v/>
      </c>
      <c r="L36" s="37" t="n"/>
      <c r="M36" s="37" t="n"/>
      <c r="N36" s="37" t="n"/>
      <c r="O36" s="41">
        <f>IF(C36="","",IF(R36=1,"Yes","No"))</f>
        <v/>
      </c>
      <c r="P36" s="51">
        <f>IFERROR(IF(C36="","",IF(AND(Census!C36="E",Census!J36&gt;=18,Census!J36&lt;=65),"Yes","No")),"ERROR")</f>
        <v/>
      </c>
      <c r="Q36" s="52">
        <f>IFERROR(IF(C36="","",IF(AND(Census!C36="E",Census!J36&gt;=18,Census!J36&lt;=64),"Yes","No")),"ERROR")</f>
        <v/>
      </c>
      <c r="R36" s="53">
        <f>IF(OR(AB36&lt;&gt;1,AC36&lt;&gt;1,AD36&lt;&gt;1,AF36&lt;&gt;1,AE36&lt;&gt;1,AG36&lt;&gt;1),-1,1)</f>
        <v/>
      </c>
      <c r="S36" s="54">
        <f>AB36</f>
        <v/>
      </c>
      <c r="T36" s="55">
        <f>AC36</f>
        <v/>
      </c>
      <c r="U36" s="55">
        <f>AD36</f>
        <v/>
      </c>
      <c r="V36" s="55">
        <f>AE36</f>
        <v/>
      </c>
      <c r="W36" s="55">
        <f>AF36</f>
        <v/>
      </c>
      <c r="X36" s="56">
        <f>AG36</f>
        <v/>
      </c>
      <c r="Y36" s="23" t="n"/>
      <c r="Z36" s="64" t="inlineStr">
        <is>
          <t>American Samoan</t>
        </is>
      </c>
      <c r="AA36" s="23" t="n"/>
      <c r="AB36">
        <f>IFERROR(IF(OR(B36=0,B36=""),0,1),0)</f>
        <v/>
      </c>
      <c r="AC36">
        <f>IFERROR(IF(OR(C36="S",C36="D"),IF(AND(C36="D",D36="F"),1,IF(AND(C36="S",D36="M"),1,0)),IF(OR(C36="W",C36="H"),IF(OR(AND(C36="W",D36="F"),AND(C36="H",D36="M")),1,),IF(OR(D36="M",D36="F"),1,0))),0)</f>
        <v/>
      </c>
      <c r="AD36">
        <f>IFERROR(IF(OR(C36="E",C36="W",C36="H"),1,IF(C36 = "S",IF(D36="M",1,0),IF(D36 = "F",1,0))),0)</f>
        <v/>
      </c>
      <c r="AE36">
        <f>IFERROR(IF(OR(E36="M",E36="S"),IF(E36="M",IF(OR(C36="S",C36 = "D"),0,1),IF(OR(C36="W",C36="H"),0,1)),0),0)</f>
        <v/>
      </c>
      <c r="AF36">
        <f>IF(G36="",-1,IF(AND(G36&lt;=TODAY(),ISNUMBER(DATE(YEAR(G36),MONTH(G36),DAY(G36)))),IF(AND(OR(C36="S",C36="D"),J36&gt;24),-1,1),-1))</f>
        <v/>
      </c>
      <c r="AG36">
        <f>IF(OR(I36="CAT 1",I36="CAT 2",I36="CAT 3",I36="CAT 4"),1,0)</f>
        <v/>
      </c>
      <c r="AH36">
        <f>PRODUCT(AF36:AG36)*AE36</f>
        <v/>
      </c>
    </row>
    <row r="37" customFormat="1" s="12">
      <c r="A37" s="42" t="n">
        <v>36</v>
      </c>
      <c r="B37" s="43" t="n"/>
      <c r="C37" s="44" t="n"/>
      <c r="D37" s="17" t="n"/>
      <c r="E37" s="17" t="n"/>
      <c r="F37" s="39" t="n"/>
      <c r="G37" s="3" t="n"/>
      <c r="H37" s="44" t="n"/>
      <c r="I37" s="44" t="n"/>
      <c r="J37" s="42">
        <f>IFERROR(IF(G37="","",ROUNDDOWN(IF($G37="","",(inception_date-$G37)/365.25),0)),0)</f>
        <v/>
      </c>
      <c r="K37" s="42">
        <f>IF(I37="","",IF($AM$3=1,IFERROR(IF(J37=FALSE,"",VLOOKUP(J37,$AJ$1:$AK$18,2,1)),""),IFERROR(IF(J37 = "FALSE","",VLOOKUP(J37,#REF!,2,TRUE)),"")))</f>
        <v/>
      </c>
      <c r="L37" s="42" t="n"/>
      <c r="M37" s="42" t="n"/>
      <c r="N37" s="42" t="n"/>
      <c r="O37" s="46">
        <f>IF(C37="","",IF(R37=1,"Yes","No"))</f>
        <v/>
      </c>
      <c r="P37" s="57">
        <f>IFERROR(IF(C37="","",IF(AND(Census!C37="E",Census!J37&gt;=18,Census!J37&lt;=65),"Yes","No")),"ERROR")</f>
        <v/>
      </c>
      <c r="Q37" s="58">
        <f>IFERROR(IF(C37="","",IF(AND(Census!C37="E",Census!J37&gt;=18,Census!J37&lt;=64),"Yes","No")),"ERROR")</f>
        <v/>
      </c>
      <c r="R37" s="59">
        <f>IF(OR(AB37&lt;&gt;1,AC37&lt;&gt;1,AD37&lt;&gt;1,AF37&lt;&gt;1,AE37&lt;&gt;1,AG37&lt;&gt;1),-1,1)</f>
        <v/>
      </c>
      <c r="S37" s="60">
        <f>AB37</f>
        <v/>
      </c>
      <c r="T37" s="61">
        <f>AC37</f>
        <v/>
      </c>
      <c r="U37" s="61">
        <f>AD37</f>
        <v/>
      </c>
      <c r="V37" s="61">
        <f>AE37</f>
        <v/>
      </c>
      <c r="W37" s="61">
        <f>AF37</f>
        <v/>
      </c>
      <c r="X37" s="62">
        <f>AG37</f>
        <v/>
      </c>
      <c r="Y37" s="23" t="n"/>
      <c r="Z37" s="64" t="inlineStr">
        <is>
          <t>Andorra</t>
        </is>
      </c>
      <c r="AA37" s="23" t="n"/>
      <c r="AB37">
        <f>IFERROR(IF(OR(B37=0,B37=""),0,1),0)</f>
        <v/>
      </c>
      <c r="AC37">
        <f>IFERROR(IF(OR(C37="S",C37="D"),IF(AND(C37="D",D37="F"),1,IF(AND(C37="S",D37="M"),1,0)),IF(OR(C37="W",C37="H"),IF(OR(AND(C37="W",D37="F"),AND(C37="H",D37="M")),1,),IF(OR(D37="M",D37="F"),1,0))),0)</f>
        <v/>
      </c>
      <c r="AD37">
        <f>IFERROR(IF(OR(C37="E",C37="W",C37="H"),1,IF(C37 = "S",IF(D37="M",1,0),IF(D37 = "F",1,0))),0)</f>
        <v/>
      </c>
      <c r="AE37">
        <f>IFERROR(IF(OR(E37="M",E37="S"),IF(E37="M",IF(OR(C37="S",C37 = "D"),0,1),IF(OR(C37="W",C37="H"),0,1)),0),0)</f>
        <v/>
      </c>
      <c r="AF37">
        <f>IF(G37="",-1,IF(AND(G37&lt;=TODAY(),ISNUMBER(DATE(YEAR(G37),MONTH(G37),DAY(G37)))),IF(AND(OR(C37="S",C37="D"),J37&gt;24),-1,1),-1))</f>
        <v/>
      </c>
      <c r="AG37">
        <f>IF(OR(I37="CAT 1",I37="CAT 2",I37="CAT 3",I37="CAT 4"),1,0)</f>
        <v/>
      </c>
      <c r="AH37">
        <f>PRODUCT(AF37:AG37)*AE37</f>
        <v/>
      </c>
    </row>
    <row r="38" customFormat="1" s="12">
      <c r="A38" s="37" t="n">
        <v>37</v>
      </c>
      <c r="B38" s="38" t="n"/>
      <c r="C38" s="39" t="n"/>
      <c r="D38" s="65" t="n"/>
      <c r="E38" s="40" t="n"/>
      <c r="F38" s="39" t="n"/>
      <c r="G38" s="2" t="n"/>
      <c r="H38" s="39" t="n"/>
      <c r="I38" s="39" t="n"/>
      <c r="J38" s="50">
        <f>IFERROR(IF(G38="","",ROUNDDOWN(IF($G38="","",(inception_date-$G38)/365.25),0)),0)</f>
        <v/>
      </c>
      <c r="K38" s="37">
        <f>IF(I38="","",IF($AM$3=1,IFERROR(IF(J38=FALSE,"",VLOOKUP(J38,$AJ$1:$AK$18,2,1)),""),IFERROR(IF(J38 = "FALSE","",VLOOKUP(J38,#REF!,2,TRUE)),"")))</f>
        <v/>
      </c>
      <c r="L38" s="37" t="n"/>
      <c r="M38" s="37" t="n"/>
      <c r="N38" s="37" t="n"/>
      <c r="O38" s="41">
        <f>IF(C38="","",IF(R38=1,"Yes","No"))</f>
        <v/>
      </c>
      <c r="P38" s="51">
        <f>IFERROR(IF(C38="","",IF(AND(Census!C38="E",Census!J38&gt;=18,Census!J38&lt;=65),"Yes","No")),"ERROR")</f>
        <v/>
      </c>
      <c r="Q38" s="52">
        <f>IFERROR(IF(C38="","",IF(AND(Census!C38="E",Census!J38&gt;=18,Census!J38&lt;=64),"Yes","No")),"ERROR")</f>
        <v/>
      </c>
      <c r="R38" s="53">
        <f>IF(OR(AB38&lt;&gt;1,AC38&lt;&gt;1,AD38&lt;&gt;1,AF38&lt;&gt;1,AE38&lt;&gt;1,AG38&lt;&gt;1),-1,1)</f>
        <v/>
      </c>
      <c r="S38" s="54">
        <f>AB38</f>
        <v/>
      </c>
      <c r="T38" s="55">
        <f>AC38</f>
        <v/>
      </c>
      <c r="U38" s="55">
        <f>AD38</f>
        <v/>
      </c>
      <c r="V38" s="55">
        <f>AE38</f>
        <v/>
      </c>
      <c r="W38" s="55">
        <f>AF38</f>
        <v/>
      </c>
      <c r="X38" s="56">
        <f>AG38</f>
        <v/>
      </c>
      <c r="Y38" s="23" t="n"/>
      <c r="Z38" s="64" t="inlineStr">
        <is>
          <t>Angolan</t>
        </is>
      </c>
      <c r="AA38" s="23" t="n"/>
      <c r="AB38">
        <f>IFERROR(IF(OR(B38=0,B38=""),0,1),0)</f>
        <v/>
      </c>
      <c r="AC38">
        <f>IFERROR(IF(OR(C38="S",C38="D"),IF(AND(C38="D",D38="F"),1,IF(AND(C38="S",D38="M"),1,0)),IF(OR(C38="W",C38="H"),IF(OR(AND(C38="W",D38="F"),AND(C38="H",D38="M")),1,),IF(OR(D38="M",D38="F"),1,0))),0)</f>
        <v/>
      </c>
      <c r="AD38">
        <f>IFERROR(IF(OR(C38="E",C38="W",C38="H"),1,IF(C38 = "S",IF(D38="M",1,0),IF(D38 = "F",1,0))),0)</f>
        <v/>
      </c>
      <c r="AE38">
        <f>IFERROR(IF(OR(E38="M",E38="S"),IF(E38="M",IF(OR(C38="S",C38 = "D"),0,1),IF(OR(C38="W",C38="H"),0,1)),0),0)</f>
        <v/>
      </c>
      <c r="AF38">
        <f>IF(G38="",-1,IF(AND(G38&lt;=TODAY(),ISNUMBER(DATE(YEAR(G38),MONTH(G38),DAY(G38)))),IF(AND(OR(C38="S",C38="D"),J38&gt;24),-1,1),-1))</f>
        <v/>
      </c>
      <c r="AG38">
        <f>IF(OR(I38="CAT 1",I38="CAT 2",I38="CAT 3",I38="CAT 4"),1,0)</f>
        <v/>
      </c>
      <c r="AH38">
        <f>PRODUCT(AF38:AG38)*AE38</f>
        <v/>
      </c>
    </row>
    <row r="39" customFormat="1" s="12">
      <c r="A39" s="42" t="n">
        <v>38</v>
      </c>
      <c r="B39" s="43" t="n"/>
      <c r="C39" s="44" t="n"/>
      <c r="D39" s="17" t="n"/>
      <c r="E39" s="17" t="n"/>
      <c r="F39" s="39" t="n"/>
      <c r="G39" s="3" t="n"/>
      <c r="H39" s="44" t="n"/>
      <c r="I39" s="44" t="n"/>
      <c r="J39" s="42">
        <f>IFERROR(IF(G39="","",ROUNDDOWN(IF($G39="","",(inception_date-$G39)/365.25),0)),0)</f>
        <v/>
      </c>
      <c r="K39" s="42">
        <f>IF(I39="","",IF($AM$3=1,IFERROR(IF(J39=FALSE,"",VLOOKUP(J39,$AJ$1:$AK$18,2,1)),""),IFERROR(IF(J39 = "FALSE","",VLOOKUP(J39,#REF!,2,TRUE)),"")))</f>
        <v/>
      </c>
      <c r="L39" s="42" t="n"/>
      <c r="M39" s="42" t="n"/>
      <c r="N39" s="42" t="n"/>
      <c r="O39" s="46">
        <f>IF(C39="","",IF(R39=1,"Yes","No"))</f>
        <v/>
      </c>
      <c r="P39" s="57">
        <f>IFERROR(IF(C39="","",IF(AND(Census!C39="E",Census!J39&gt;=18,Census!J39&lt;=65),"Yes","No")),"ERROR")</f>
        <v/>
      </c>
      <c r="Q39" s="58">
        <f>IFERROR(IF(C39="","",IF(AND(Census!C39="E",Census!J39&gt;=18,Census!J39&lt;=64),"Yes","No")),"ERROR")</f>
        <v/>
      </c>
      <c r="R39" s="59">
        <f>IF(OR(AB39&lt;&gt;1,AC39&lt;&gt;1,AD39&lt;&gt;1,AF39&lt;&gt;1,AE39&lt;&gt;1,AG39&lt;&gt;1),-1,1)</f>
        <v/>
      </c>
      <c r="S39" s="60">
        <f>AB39</f>
        <v/>
      </c>
      <c r="T39" s="61">
        <f>AC39</f>
        <v/>
      </c>
      <c r="U39" s="61">
        <f>AD39</f>
        <v/>
      </c>
      <c r="V39" s="61">
        <f>AE39</f>
        <v/>
      </c>
      <c r="W39" s="61">
        <f>AF39</f>
        <v/>
      </c>
      <c r="X39" s="62">
        <f>AG39</f>
        <v/>
      </c>
      <c r="Y39" s="23" t="n"/>
      <c r="Z39" s="64" t="inlineStr">
        <is>
          <t>Anguillian</t>
        </is>
      </c>
      <c r="AA39" s="23" t="n"/>
      <c r="AB39">
        <f>IFERROR(IF(OR(B39=0,B39=""),0,1),0)</f>
        <v/>
      </c>
      <c r="AC39">
        <f>IFERROR(IF(OR(C39="S",C39="D"),IF(AND(C39="D",D39="F"),1,IF(AND(C39="S",D39="M"),1,0)),IF(OR(C39="W",C39="H"),IF(OR(AND(C39="W",D39="F"),AND(C39="H",D39="M")),1,),IF(OR(D39="M",D39="F"),1,0))),0)</f>
        <v/>
      </c>
      <c r="AD39">
        <f>IFERROR(IF(OR(C39="E",C39="W",C39="H"),1,IF(C39 = "S",IF(D39="M",1,0),IF(D39 = "F",1,0))),0)</f>
        <v/>
      </c>
      <c r="AE39">
        <f>IFERROR(IF(OR(E39="M",E39="S"),IF(E39="M",IF(OR(C39="S",C39 = "D"),0,1),IF(OR(C39="W",C39="H"),0,1)),0),0)</f>
        <v/>
      </c>
      <c r="AF39">
        <f>IF(G39="",-1,IF(AND(G39&lt;=TODAY(),ISNUMBER(DATE(YEAR(G39),MONTH(G39),DAY(G39)))),IF(AND(OR(C39="S",C39="D"),J39&gt;24),-1,1),-1))</f>
        <v/>
      </c>
      <c r="AG39">
        <f>IF(OR(I39="CAT 1",I39="CAT 2",I39="CAT 3",I39="CAT 4"),1,0)</f>
        <v/>
      </c>
      <c r="AH39">
        <f>PRODUCT(AF39:AG39)*AE39</f>
        <v/>
      </c>
    </row>
    <row r="40" customFormat="1" s="12">
      <c r="A40" s="37" t="n">
        <v>39</v>
      </c>
      <c r="B40" s="38" t="n"/>
      <c r="C40" s="39" t="n"/>
      <c r="D40" s="65" t="n"/>
      <c r="E40" s="40" t="n"/>
      <c r="F40" s="39" t="n"/>
      <c r="G40" s="2" t="n"/>
      <c r="H40" s="39" t="n"/>
      <c r="I40" s="39" t="n"/>
      <c r="J40" s="50">
        <f>IFERROR(IF(G40="","",ROUNDDOWN(IF($G40="","",(inception_date-$G40)/365.25),0)),0)</f>
        <v/>
      </c>
      <c r="K40" s="37">
        <f>IF(I40="","",IF($AM$3=1,IFERROR(IF(J40=FALSE,"",VLOOKUP(J40,$AJ$1:$AK$18,2,1)),""),IFERROR(IF(J40 = "FALSE","",VLOOKUP(J40,#REF!,2,TRUE)),"")))</f>
        <v/>
      </c>
      <c r="L40" s="37" t="n"/>
      <c r="M40" s="37" t="n"/>
      <c r="N40" s="37" t="n"/>
      <c r="O40" s="41">
        <f>IF(C40="","",IF(R40=1,"Yes","No"))</f>
        <v/>
      </c>
      <c r="P40" s="51">
        <f>IFERROR(IF(C40="","",IF(AND(Census!C40="E",Census!J40&gt;=18,Census!J40&lt;=65),"Yes","No")),"ERROR")</f>
        <v/>
      </c>
      <c r="Q40" s="52">
        <f>IFERROR(IF(C40="","",IF(AND(Census!C40="E",Census!J40&gt;=18,Census!J40&lt;=64),"Yes","No")),"ERROR")</f>
        <v/>
      </c>
      <c r="R40" s="53">
        <f>IF(OR(AB40&lt;&gt;1,AC40&lt;&gt;1,AD40&lt;&gt;1,AF40&lt;&gt;1,AE40&lt;&gt;1,AG40&lt;&gt;1),-1,1)</f>
        <v/>
      </c>
      <c r="S40" s="54">
        <f>AB40</f>
        <v/>
      </c>
      <c r="T40" s="55">
        <f>AC40</f>
        <v/>
      </c>
      <c r="U40" s="55">
        <f>AD40</f>
        <v/>
      </c>
      <c r="V40" s="55">
        <f>AE40</f>
        <v/>
      </c>
      <c r="W40" s="55">
        <f>AF40</f>
        <v/>
      </c>
      <c r="X40" s="56">
        <f>AG40</f>
        <v/>
      </c>
      <c r="Y40" s="10" t="n"/>
      <c r="Z40" s="64" t="inlineStr">
        <is>
          <t>Antarctica</t>
        </is>
      </c>
      <c r="AA40" s="10" t="n"/>
      <c r="AB40">
        <f>IFERROR(IF(OR(B40=0,B40=""),0,1),0)</f>
        <v/>
      </c>
      <c r="AC40">
        <f>IFERROR(IF(OR(C40="S",C40="D"),IF(AND(C40="D",D40="F"),1,IF(AND(C40="S",D40="M"),1,0)),IF(OR(C40="W",C40="H"),IF(OR(AND(C40="W",D40="F"),AND(C40="H",D40="M")),1,),IF(OR(D40="M",D40="F"),1,0))),0)</f>
        <v/>
      </c>
      <c r="AD40">
        <f>IFERROR(IF(OR(C40="E",C40="W",C40="H"),1,IF(C40 = "S",IF(D40="M",1,0),IF(D40 = "F",1,0))),0)</f>
        <v/>
      </c>
      <c r="AE40">
        <f>IFERROR(IF(OR(E40="M",E40="S"),IF(E40="M",IF(OR(C40="S",C40 = "D"),0,1),IF(OR(C40="W",C40="H"),0,1)),0),0)</f>
        <v/>
      </c>
      <c r="AF40">
        <f>IF(G40="",-1,IF(AND(G40&lt;=TODAY(),ISNUMBER(DATE(YEAR(G40),MONTH(G40),DAY(G40)))),IF(AND(OR(C40="S",C40="D"),J40&gt;24),-1,1),-1))</f>
        <v/>
      </c>
      <c r="AG40">
        <f>IF(OR(I40="CAT 1",I40="CAT 2",I40="CAT 3",I40="CAT 4"),1,0)</f>
        <v/>
      </c>
      <c r="AH40">
        <f>PRODUCT(AF40:AG40)*AE40</f>
        <v/>
      </c>
    </row>
    <row r="41" customFormat="1" s="12">
      <c r="A41" s="42" t="n">
        <v>40</v>
      </c>
      <c r="B41" s="43" t="n"/>
      <c r="C41" s="44" t="n"/>
      <c r="D41" s="17" t="n"/>
      <c r="E41" s="17" t="n"/>
      <c r="F41" s="39" t="n"/>
      <c r="G41" s="3" t="n"/>
      <c r="H41" s="44" t="n"/>
      <c r="I41" s="44" t="n"/>
      <c r="J41" s="42">
        <f>IFERROR(IF(G41="","",ROUNDDOWN(IF($G41="","",(inception_date-$G41)/365.25),0)),0)</f>
        <v/>
      </c>
      <c r="K41" s="42">
        <f>IF(I41="","",IF($AM$3=1,IFERROR(IF(J41=FALSE,"",VLOOKUP(J41,$AJ$1:$AK$18,2,1)),""),IFERROR(IF(J41 = "FALSE","",VLOOKUP(J41,#REF!,2,TRUE)),"")))</f>
        <v/>
      </c>
      <c r="L41" s="42" t="n"/>
      <c r="M41" s="42" t="n"/>
      <c r="N41" s="42" t="n"/>
      <c r="O41" s="46">
        <f>IF(C41="","",IF(R41=1,"Yes","No"))</f>
        <v/>
      </c>
      <c r="P41" s="57">
        <f>IFERROR(IF(C41="","",IF(AND(Census!C41="E",Census!J41&gt;=18,Census!J41&lt;=65),"Yes","No")),"ERROR")</f>
        <v/>
      </c>
      <c r="Q41" s="58">
        <f>IFERROR(IF(C41="","",IF(AND(Census!C41="E",Census!J41&gt;=18,Census!J41&lt;=64),"Yes","No")),"ERROR")</f>
        <v/>
      </c>
      <c r="R41" s="59">
        <f>IF(OR(AB41&lt;&gt;1,AC41&lt;&gt;1,AD41&lt;&gt;1,AF41&lt;&gt;1,AE41&lt;&gt;1,AG41&lt;&gt;1),-1,1)</f>
        <v/>
      </c>
      <c r="S41" s="60">
        <f>AB41</f>
        <v/>
      </c>
      <c r="T41" s="61">
        <f>AC41</f>
        <v/>
      </c>
      <c r="U41" s="61">
        <f>AD41</f>
        <v/>
      </c>
      <c r="V41" s="61">
        <f>AE41</f>
        <v/>
      </c>
      <c r="W41" s="61">
        <f>AF41</f>
        <v/>
      </c>
      <c r="X41" s="62">
        <f>AG41</f>
        <v/>
      </c>
      <c r="Y41" s="10" t="n"/>
      <c r="Z41" s="64" t="inlineStr">
        <is>
          <t>Antiguan</t>
        </is>
      </c>
      <c r="AA41" s="10" t="n"/>
      <c r="AB41">
        <f>IFERROR(IF(OR(B41=0,B41=""),0,1),0)</f>
        <v/>
      </c>
      <c r="AC41">
        <f>IFERROR(IF(OR(C41="S",C41="D"),IF(AND(C41="D",D41="F"),1,IF(AND(C41="S",D41="M"),1,0)),IF(OR(C41="W",C41="H"),IF(OR(AND(C41="W",D41="F"),AND(C41="H",D41="M")),1,),IF(OR(D41="M",D41="F"),1,0))),0)</f>
        <v/>
      </c>
      <c r="AD41">
        <f>IFERROR(IF(OR(C41="E",C41="W",C41="H"),1,IF(C41 = "S",IF(D41="M",1,0),IF(D41 = "F",1,0))),0)</f>
        <v/>
      </c>
      <c r="AE41">
        <f>IFERROR(IF(OR(E41="M",E41="S"),IF(E41="M",IF(OR(C41="S",C41 = "D"),0,1),IF(OR(C41="W",C41="H"),0,1)),0),0)</f>
        <v/>
      </c>
      <c r="AF41">
        <f>IF(G41="",-1,IF(AND(G41&lt;=TODAY(),ISNUMBER(DATE(YEAR(G41),MONTH(G41),DAY(G41)))),IF(AND(OR(C41="S",C41="D"),J41&gt;24),-1,1),-1))</f>
        <v/>
      </c>
      <c r="AG41">
        <f>IF(OR(I41="CAT 1",I41="CAT 2",I41="CAT 3",I41="CAT 4"),1,0)</f>
        <v/>
      </c>
      <c r="AH41">
        <f>PRODUCT(AF41:AG41)*AE41</f>
        <v/>
      </c>
    </row>
    <row r="42" customFormat="1" s="12">
      <c r="A42" s="37" t="n">
        <v>41</v>
      </c>
      <c r="B42" s="38" t="n"/>
      <c r="C42" s="39" t="n"/>
      <c r="D42" s="65" t="n"/>
      <c r="E42" s="40" t="n"/>
      <c r="F42" s="39" t="n"/>
      <c r="G42" s="2" t="n"/>
      <c r="H42" s="39" t="n"/>
      <c r="I42" s="39" t="n"/>
      <c r="J42" s="50">
        <f>IFERROR(IF(G42="","",ROUNDDOWN(IF($G42="","",(inception_date-$G42)/365.25),0)),0)</f>
        <v/>
      </c>
      <c r="K42" s="37">
        <f>IF(I42="","",IF($AM$3=1,IFERROR(IF(J42=FALSE,"",VLOOKUP(J42,$AJ$1:$AK$18,2,1)),""),IFERROR(IF(J42 = "FALSE","",VLOOKUP(J42,#REF!,2,TRUE)),"")))</f>
        <v/>
      </c>
      <c r="L42" s="37" t="n"/>
      <c r="M42" s="37" t="n"/>
      <c r="N42" s="37" t="n"/>
      <c r="O42" s="41">
        <f>IF(C42="","",IF(R42=1,"Yes","No"))</f>
        <v/>
      </c>
      <c r="P42" s="51">
        <f>IFERROR(IF(C42="","",IF(AND(Census!C42="E",Census!J42&gt;=18,Census!J42&lt;=65),"Yes","No")),"ERROR")</f>
        <v/>
      </c>
      <c r="Q42" s="52">
        <f>IFERROR(IF(C42="","",IF(AND(Census!C42="E",Census!J42&gt;=18,Census!J42&lt;=64),"Yes","No")),"ERROR")</f>
        <v/>
      </c>
      <c r="R42" s="53">
        <f>IF(OR(AB42&lt;&gt;1,AC42&lt;&gt;1,AD42&lt;&gt;1,AF42&lt;&gt;1,AE42&lt;&gt;1,AG42&lt;&gt;1),-1,1)</f>
        <v/>
      </c>
      <c r="S42" s="54">
        <f>AB42</f>
        <v/>
      </c>
      <c r="T42" s="55">
        <f>AC42</f>
        <v/>
      </c>
      <c r="U42" s="55">
        <f>AD42</f>
        <v/>
      </c>
      <c r="V42" s="55">
        <f>AE42</f>
        <v/>
      </c>
      <c r="W42" s="55">
        <f>AF42</f>
        <v/>
      </c>
      <c r="X42" s="56">
        <f>AG42</f>
        <v/>
      </c>
      <c r="Y42" s="10" t="n"/>
      <c r="Z42" s="64" t="inlineStr">
        <is>
          <t>Argentine</t>
        </is>
      </c>
      <c r="AA42" s="10" t="n"/>
      <c r="AB42">
        <f>IFERROR(IF(OR(B42=0,B42=""),0,1),0)</f>
        <v/>
      </c>
      <c r="AC42">
        <f>IFERROR(IF(OR(C42="S",C42="D"),IF(AND(C42="D",D42="F"),1,IF(AND(C42="S",D42="M"),1,0)),IF(OR(C42="W",C42="H"),IF(OR(AND(C42="W",D42="F"),AND(C42="H",D42="M")),1,),IF(OR(D42="M",D42="F"),1,0))),0)</f>
        <v/>
      </c>
      <c r="AD42">
        <f>IFERROR(IF(OR(C42="E",C42="W",C42="H"),1,IF(C42 = "S",IF(D42="M",1,0),IF(D42 = "F",1,0))),0)</f>
        <v/>
      </c>
      <c r="AE42">
        <f>IFERROR(IF(OR(E42="M",E42="S"),IF(E42="M",IF(OR(C42="S",C42 = "D"),0,1),IF(OR(C42="W",C42="H"),0,1)),0),0)</f>
        <v/>
      </c>
      <c r="AF42">
        <f>IF(G42="",-1,IF(AND(G42&lt;=TODAY(),ISNUMBER(DATE(YEAR(G42),MONTH(G42),DAY(G42)))),IF(AND(OR(C42="S",C42="D"),J42&gt;24),-1,1),-1))</f>
        <v/>
      </c>
      <c r="AG42">
        <f>IF(OR(I42="CAT 1",I42="CAT 2",I42="CAT 3",I42="CAT 4"),1,0)</f>
        <v/>
      </c>
      <c r="AH42">
        <f>PRODUCT(AF42:AG42)*AE42</f>
        <v/>
      </c>
    </row>
    <row r="43" customFormat="1" s="12">
      <c r="A43" s="42" t="n">
        <v>42</v>
      </c>
      <c r="B43" s="43" t="n"/>
      <c r="C43" s="44" t="n"/>
      <c r="D43" s="17" t="n"/>
      <c r="E43" s="17" t="n"/>
      <c r="F43" s="39" t="n"/>
      <c r="G43" s="3" t="n"/>
      <c r="H43" s="44" t="n"/>
      <c r="I43" s="44" t="n"/>
      <c r="J43" s="42">
        <f>IFERROR(IF(G43="","",ROUNDDOWN(IF($G43="","",(inception_date-$G43)/365.25),0)),0)</f>
        <v/>
      </c>
      <c r="K43" s="42">
        <f>IF(I43="","",IF($AM$3=1,IFERROR(IF(J43=FALSE,"",VLOOKUP(J43,$AJ$1:$AK$18,2,1)),""),IFERROR(IF(J43 = "FALSE","",VLOOKUP(J43,#REF!,2,TRUE)),"")))</f>
        <v/>
      </c>
      <c r="L43" s="42" t="n"/>
      <c r="M43" s="42" t="n"/>
      <c r="N43" s="42" t="n"/>
      <c r="O43" s="46">
        <f>IF(C43="","",IF(R43=1,"Yes","No"))</f>
        <v/>
      </c>
      <c r="P43" s="57">
        <f>IFERROR(IF(C43="","",IF(AND(Census!C43="E",Census!J43&gt;=18,Census!J43&lt;=65),"Yes","No")),"ERROR")</f>
        <v/>
      </c>
      <c r="Q43" s="58">
        <f>IFERROR(IF(C43="","",IF(AND(Census!C43="E",Census!J43&gt;=18,Census!J43&lt;=64),"Yes","No")),"ERROR")</f>
        <v/>
      </c>
      <c r="R43" s="59">
        <f>IF(OR(AB43&lt;&gt;1,AC43&lt;&gt;1,AD43&lt;&gt;1,AF43&lt;&gt;1,AE43&lt;&gt;1,AG43&lt;&gt;1),-1,1)</f>
        <v/>
      </c>
      <c r="S43" s="60">
        <f>AB43</f>
        <v/>
      </c>
      <c r="T43" s="61">
        <f>AC43</f>
        <v/>
      </c>
      <c r="U43" s="61">
        <f>AD43</f>
        <v/>
      </c>
      <c r="V43" s="61">
        <f>AE43</f>
        <v/>
      </c>
      <c r="W43" s="61">
        <f>AF43</f>
        <v/>
      </c>
      <c r="X43" s="62">
        <f>AG43</f>
        <v/>
      </c>
      <c r="Y43" s="10" t="n"/>
      <c r="Z43" s="64" t="inlineStr">
        <is>
          <t>Armenian</t>
        </is>
      </c>
      <c r="AA43" s="10" t="n"/>
      <c r="AB43">
        <f>IFERROR(IF(OR(B43=0,B43=""),0,1),0)</f>
        <v/>
      </c>
      <c r="AC43">
        <f>IFERROR(IF(OR(C43="S",C43="D"),IF(AND(C43="D",D43="F"),1,IF(AND(C43="S",D43="M"),1,0)),IF(OR(C43="W",C43="H"),IF(OR(AND(C43="W",D43="F"),AND(C43="H",D43="M")),1,),IF(OR(D43="M",D43="F"),1,0))),0)</f>
        <v/>
      </c>
      <c r="AD43">
        <f>IFERROR(IF(OR(C43="E",C43="W",C43="H"),1,IF(C43 = "S",IF(D43="M",1,0),IF(D43 = "F",1,0))),0)</f>
        <v/>
      </c>
      <c r="AE43">
        <f>IFERROR(IF(OR(E43="M",E43="S"),IF(E43="M",IF(OR(C43="S",C43 = "D"),0,1),IF(OR(C43="W",C43="H"),0,1)),0),0)</f>
        <v/>
      </c>
      <c r="AF43">
        <f>IF(G43="",-1,IF(AND(G43&lt;=TODAY(),ISNUMBER(DATE(YEAR(G43),MONTH(G43),DAY(G43)))),IF(AND(OR(C43="S",C43="D"),J43&gt;24),-1,1),-1))</f>
        <v/>
      </c>
      <c r="AG43">
        <f>IF(OR(I43="CAT 1",I43="CAT 2",I43="CAT 3",I43="CAT 4"),1,0)</f>
        <v/>
      </c>
      <c r="AH43">
        <f>PRODUCT(AF43:AG43)*AE43</f>
        <v/>
      </c>
    </row>
    <row r="44" customFormat="1" s="12">
      <c r="A44" s="37" t="n">
        <v>43</v>
      </c>
      <c r="B44" s="38" t="n"/>
      <c r="C44" s="39" t="n"/>
      <c r="D44" s="65" t="n"/>
      <c r="E44" s="40" t="n"/>
      <c r="F44" s="39" t="n"/>
      <c r="G44" s="2" t="n"/>
      <c r="H44" s="39" t="n"/>
      <c r="I44" s="39" t="n"/>
      <c r="J44" s="50">
        <f>IFERROR(IF(G44="","",ROUNDDOWN(IF($G44="","",(inception_date-$G44)/365.25),0)),0)</f>
        <v/>
      </c>
      <c r="K44" s="37">
        <f>IF(I44="","",IF($AM$3=1,IFERROR(IF(J44=FALSE,"",VLOOKUP(J44,$AJ$1:$AK$18,2,1)),""),IFERROR(IF(J44 = "FALSE","",VLOOKUP(J44,#REF!,2,TRUE)),"")))</f>
        <v/>
      </c>
      <c r="L44" s="37" t="n"/>
      <c r="M44" s="37" t="n"/>
      <c r="N44" s="37" t="n"/>
      <c r="O44" s="41">
        <f>IF(C44="","",IF(R44=1,"Yes","No"))</f>
        <v/>
      </c>
      <c r="P44" s="51">
        <f>IFERROR(IF(C44="","",IF(AND(Census!C44="E",Census!J44&gt;=18,Census!J44&lt;=65),"Yes","No")),"ERROR")</f>
        <v/>
      </c>
      <c r="Q44" s="52">
        <f>IFERROR(IF(C44="","",IF(AND(Census!C44="E",Census!J44&gt;=18,Census!J44&lt;=64),"Yes","No")),"ERROR")</f>
        <v/>
      </c>
      <c r="R44" s="53">
        <f>IF(OR(AB44&lt;&gt;1,AC44&lt;&gt;1,AD44&lt;&gt;1,AF44&lt;&gt;1,AE44&lt;&gt;1,AG44&lt;&gt;1),-1,1)</f>
        <v/>
      </c>
      <c r="S44" s="54">
        <f>AB44</f>
        <v/>
      </c>
      <c r="T44" s="55">
        <f>AC44</f>
        <v/>
      </c>
      <c r="U44" s="55">
        <f>AD44</f>
        <v/>
      </c>
      <c r="V44" s="55">
        <f>AE44</f>
        <v/>
      </c>
      <c r="W44" s="55">
        <f>AF44</f>
        <v/>
      </c>
      <c r="X44" s="56">
        <f>AG44</f>
        <v/>
      </c>
      <c r="Y44" s="10" t="n"/>
      <c r="Z44" s="64" t="inlineStr">
        <is>
          <t>Aruba</t>
        </is>
      </c>
      <c r="AA44" s="10" t="n"/>
      <c r="AB44">
        <f>IFERROR(IF(OR(B44=0,B44=""),0,1),0)</f>
        <v/>
      </c>
      <c r="AC44">
        <f>IFERROR(IF(OR(C44="S",C44="D"),IF(AND(C44="D",D44="F"),1,IF(AND(C44="S",D44="M"),1,0)),IF(OR(C44="W",C44="H"),IF(OR(AND(C44="W",D44="F"),AND(C44="H",D44="M")),1,),IF(OR(D44="M",D44="F"),1,0))),0)</f>
        <v/>
      </c>
      <c r="AD44">
        <f>IFERROR(IF(OR(C44="E",C44="W",C44="H"),1,IF(C44 = "S",IF(D44="M",1,0),IF(D44 = "F",1,0))),0)</f>
        <v/>
      </c>
      <c r="AE44">
        <f>IFERROR(IF(OR(E44="M",E44="S"),IF(E44="M",IF(OR(C44="S",C44 = "D"),0,1),IF(OR(C44="W",C44="H"),0,1)),0),0)</f>
        <v/>
      </c>
      <c r="AF44">
        <f>IF(G44="",-1,IF(AND(G44&lt;=TODAY(),ISNUMBER(DATE(YEAR(G44),MONTH(G44),DAY(G44)))),IF(AND(OR(C44="S",C44="D"),J44&gt;24),-1,1),-1))</f>
        <v/>
      </c>
      <c r="AG44">
        <f>IF(OR(I44="CAT 1",I44="CAT 2",I44="CAT 3",I44="CAT 4"),1,0)</f>
        <v/>
      </c>
      <c r="AH44">
        <f>PRODUCT(AF44:AG44)*AE44</f>
        <v/>
      </c>
    </row>
    <row r="45" customFormat="1" s="12">
      <c r="A45" s="42" t="n">
        <v>44</v>
      </c>
      <c r="B45" s="43" t="n"/>
      <c r="C45" s="44" t="n"/>
      <c r="D45" s="17" t="n"/>
      <c r="E45" s="45" t="n"/>
      <c r="F45" s="39" t="n"/>
      <c r="G45" s="3" t="n"/>
      <c r="H45" s="44" t="n"/>
      <c r="I45" s="44" t="n"/>
      <c r="J45" s="42">
        <f>IFERROR(IF(G45="","",ROUNDDOWN(IF($G45="","",(inception_date-$G45)/365.25),0)),0)</f>
        <v/>
      </c>
      <c r="K45" s="42">
        <f>IF(I45="","",IF($AM$3=1,IFERROR(IF(J45=FALSE,"",VLOOKUP(J45,$AJ$1:$AK$18,2,1)),""),IFERROR(IF(J45 = "FALSE","",VLOOKUP(J45,#REF!,2,TRUE)),"")))</f>
        <v/>
      </c>
      <c r="L45" s="42" t="n"/>
      <c r="M45" s="42" t="n"/>
      <c r="N45" s="42" t="n"/>
      <c r="O45" s="46">
        <f>IF(C45="","",IF(R45=1,"Yes","No"))</f>
        <v/>
      </c>
      <c r="P45" s="57">
        <f>IFERROR(IF(C45="","",IF(AND(Census!C45="E",Census!J45&gt;=18,Census!J45&lt;=65),"Yes","No")),"ERROR")</f>
        <v/>
      </c>
      <c r="Q45" s="58">
        <f>IFERROR(IF(C45="","",IF(AND(Census!C45="E",Census!J45&gt;=18,Census!J45&lt;=64),"Yes","No")),"ERROR")</f>
        <v/>
      </c>
      <c r="R45" s="59">
        <f>IF(OR(AB45&lt;&gt;1,AC45&lt;&gt;1,AD45&lt;&gt;1,AF45&lt;&gt;1,AE45&lt;&gt;1,AG45&lt;&gt;1),-1,1)</f>
        <v/>
      </c>
      <c r="S45" s="60">
        <f>AB45</f>
        <v/>
      </c>
      <c r="T45" s="61">
        <f>AC45</f>
        <v/>
      </c>
      <c r="U45" s="61">
        <f>AD45</f>
        <v/>
      </c>
      <c r="V45" s="61">
        <f>AE45</f>
        <v/>
      </c>
      <c r="W45" s="61">
        <f>AF45</f>
        <v/>
      </c>
      <c r="X45" s="62">
        <f>AG45</f>
        <v/>
      </c>
      <c r="Y45" s="10" t="n"/>
      <c r="Z45" s="64" t="inlineStr">
        <is>
          <t>Australian</t>
        </is>
      </c>
      <c r="AA45" s="10" t="n"/>
      <c r="AB45">
        <f>IFERROR(IF(OR(B45=0,B45=""),0,1),0)</f>
        <v/>
      </c>
      <c r="AC45">
        <f>IFERROR(IF(OR(C45="S",C45="D"),IF(AND(C45="D",D45="F"),1,IF(AND(C45="S",D45="M"),1,0)),IF(OR(C45="W",C45="H"),IF(OR(AND(C45="W",D45="F"),AND(C45="H",D45="M")),1,),IF(OR(D45="M",D45="F"),1,0))),0)</f>
        <v/>
      </c>
      <c r="AD45">
        <f>IFERROR(IF(OR(C45="E",C45="W",C45="H"),1,IF(C45 = "S",IF(D45="M",1,0),IF(D45 = "F",1,0))),0)</f>
        <v/>
      </c>
      <c r="AE45">
        <f>IFERROR(IF(OR(E45="M",E45="S"),IF(E45="M",IF(OR(C45="S",C45 = "D"),0,1),IF(OR(C45="W",C45="H"),0,1)),0),0)</f>
        <v/>
      </c>
      <c r="AF45">
        <f>IF(G45="",-1,IF(AND(G45&lt;=TODAY(),ISNUMBER(DATE(YEAR(G45),MONTH(G45),DAY(G45)))),IF(AND(OR(C45="S",C45="D"),J45&gt;24),-1,1),-1))</f>
        <v/>
      </c>
      <c r="AG45">
        <f>IF(OR(I45="CAT 1",I45="CAT 2",I45="CAT 3",I45="CAT 4"),1,0)</f>
        <v/>
      </c>
      <c r="AH45">
        <f>PRODUCT(AF45:AG45)*AE45</f>
        <v/>
      </c>
    </row>
    <row r="46" customFormat="1" s="12">
      <c r="A46" s="37" t="n">
        <v>45</v>
      </c>
      <c r="B46" s="38" t="n"/>
      <c r="C46" s="39" t="n"/>
      <c r="D46" s="65" t="n"/>
      <c r="E46" s="40" t="n"/>
      <c r="F46" s="39" t="n"/>
      <c r="G46" s="2" t="n"/>
      <c r="H46" s="39" t="n"/>
      <c r="I46" s="39" t="n"/>
      <c r="J46" s="50">
        <f>IFERROR(IF(G46="","",ROUNDDOWN(IF($G46="","",(inception_date-$G46)/365.25),0)),0)</f>
        <v/>
      </c>
      <c r="K46" s="37">
        <f>IF(I46="","",IF($AM$3=1,IFERROR(IF(J46=FALSE,"",VLOOKUP(J46,$AJ$1:$AK$18,2,1)),""),IFERROR(IF(J46 = "FALSE","",VLOOKUP(J46,#REF!,2,TRUE)),"")))</f>
        <v/>
      </c>
      <c r="L46" s="37" t="n"/>
      <c r="M46" s="37" t="n"/>
      <c r="N46" s="37" t="n"/>
      <c r="O46" s="41">
        <f>IF(C46="","",IF(R46=1,"Yes","No"))</f>
        <v/>
      </c>
      <c r="P46" s="51">
        <f>IFERROR(IF(C46="","",IF(AND(Census!C46="E",Census!J46&gt;=18,Census!J46&lt;=65),"Yes","No")),"ERROR")</f>
        <v/>
      </c>
      <c r="Q46" s="52">
        <f>IFERROR(IF(C46="","",IF(AND(Census!C46="E",Census!J46&gt;=18,Census!J46&lt;=64),"Yes","No")),"ERROR")</f>
        <v/>
      </c>
      <c r="R46" s="53">
        <f>IF(OR(AB46&lt;&gt;1,AC46&lt;&gt;1,AD46&lt;&gt;1,AF46&lt;&gt;1,AE46&lt;&gt;1,AG46&lt;&gt;1),-1,1)</f>
        <v/>
      </c>
      <c r="S46" s="54">
        <f>AB46</f>
        <v/>
      </c>
      <c r="T46" s="55">
        <f>AC46</f>
        <v/>
      </c>
      <c r="U46" s="55">
        <f>AD46</f>
        <v/>
      </c>
      <c r="V46" s="55">
        <f>AE46</f>
        <v/>
      </c>
      <c r="W46" s="55">
        <f>AF46</f>
        <v/>
      </c>
      <c r="X46" s="56">
        <f>AG46</f>
        <v/>
      </c>
      <c r="Y46" s="10" t="n"/>
      <c r="Z46" s="64" t="inlineStr">
        <is>
          <t>Austrian</t>
        </is>
      </c>
      <c r="AA46" s="10" t="n"/>
      <c r="AB46">
        <f>IFERROR(IF(OR(B46=0,B46=""),0,1),0)</f>
        <v/>
      </c>
      <c r="AC46">
        <f>IFERROR(IF(OR(C46="S",C46="D"),IF(AND(C46="D",D46="F"),1,IF(AND(C46="S",D46="M"),1,0)),IF(OR(C46="W",C46="H"),IF(OR(AND(C46="W",D46="F"),AND(C46="H",D46="M")),1,),IF(OR(D46="M",D46="F"),1,0))),0)</f>
        <v/>
      </c>
      <c r="AD46">
        <f>IFERROR(IF(OR(C46="E",C46="W",C46="H"),1,IF(C46 = "S",IF(D46="M",1,0),IF(D46 = "F",1,0))),0)</f>
        <v/>
      </c>
      <c r="AE46">
        <f>IFERROR(IF(OR(E46="M",E46="S"),IF(E46="M",IF(OR(C46="S",C46 = "D"),0,1),IF(OR(C46="W",C46="H"),0,1)),0),0)</f>
        <v/>
      </c>
      <c r="AF46">
        <f>IF(G46="",-1,IF(AND(G46&lt;=TODAY(),ISNUMBER(DATE(YEAR(G46),MONTH(G46),DAY(G46)))),IF(AND(OR(C46="S",C46="D"),J46&gt;24),-1,1),-1))</f>
        <v/>
      </c>
      <c r="AG46">
        <f>IF(OR(I46="CAT 1",I46="CAT 2",I46="CAT 3",I46="CAT 4"),1,0)</f>
        <v/>
      </c>
      <c r="AH46">
        <f>PRODUCT(AF46:AG46)*AE46</f>
        <v/>
      </c>
    </row>
    <row r="47" customFormat="1" s="12">
      <c r="A47" s="42" t="n">
        <v>46</v>
      </c>
      <c r="B47" s="43" t="n"/>
      <c r="C47" s="44" t="n"/>
      <c r="D47" s="17" t="n"/>
      <c r="E47" s="17" t="n"/>
      <c r="F47" s="39" t="n"/>
      <c r="G47" s="3" t="n"/>
      <c r="H47" s="44" t="n"/>
      <c r="I47" s="44" t="n"/>
      <c r="J47" s="42">
        <f>IFERROR(IF(G47="","",ROUNDDOWN(IF($G47="","",(inception_date-$G47)/365.25),0)),0)</f>
        <v/>
      </c>
      <c r="K47" s="42">
        <f>IF(I47="","",IF($AM$3=1,IFERROR(IF(J47=FALSE,"",VLOOKUP(J47,$AJ$1:$AK$18,2,1)),""),IFERROR(IF(J47 = "FALSE","",VLOOKUP(J47,#REF!,2,TRUE)),"")))</f>
        <v/>
      </c>
      <c r="L47" s="42" t="n"/>
      <c r="M47" s="42" t="n"/>
      <c r="N47" s="42" t="n"/>
      <c r="O47" s="46">
        <f>IF(C47="","",IF(R47=1,"Yes","No"))</f>
        <v/>
      </c>
      <c r="P47" s="57">
        <f>IFERROR(IF(C47="","",IF(AND(Census!C47="E",Census!J47&gt;=18,Census!J47&lt;=65),"Yes","No")),"ERROR")</f>
        <v/>
      </c>
      <c r="Q47" s="58">
        <f>IFERROR(IF(C47="","",IF(AND(Census!C47="E",Census!J47&gt;=18,Census!J47&lt;=64),"Yes","No")),"ERROR")</f>
        <v/>
      </c>
      <c r="R47" s="59">
        <f>IF(OR(AB47&lt;&gt;1,AC47&lt;&gt;1,AD47&lt;&gt;1,AF47&lt;&gt;1,AE47&lt;&gt;1,AG47&lt;&gt;1),-1,1)</f>
        <v/>
      </c>
      <c r="S47" s="60">
        <f>AB47</f>
        <v/>
      </c>
      <c r="T47" s="61">
        <f>AC47</f>
        <v/>
      </c>
      <c r="U47" s="61">
        <f>AD47</f>
        <v/>
      </c>
      <c r="V47" s="61">
        <f>AE47</f>
        <v/>
      </c>
      <c r="W47" s="61">
        <f>AF47</f>
        <v/>
      </c>
      <c r="X47" s="62">
        <f>AG47</f>
        <v/>
      </c>
      <c r="Y47" s="10" t="n"/>
      <c r="Z47" s="64" t="inlineStr">
        <is>
          <t>Azerbaijani</t>
        </is>
      </c>
      <c r="AA47" s="10" t="n"/>
      <c r="AB47">
        <f>IFERROR(IF(OR(B47=0,B47=""),0,1),0)</f>
        <v/>
      </c>
      <c r="AC47">
        <f>IFERROR(IF(OR(C47="S",C47="D"),IF(AND(C47="D",D47="F"),1,IF(AND(C47="S",D47="M"),1,0)),IF(OR(C47="W",C47="H"),IF(OR(AND(C47="W",D47="F"),AND(C47="H",D47="M")),1,),IF(OR(D47="M",D47="F"),1,0))),0)</f>
        <v/>
      </c>
      <c r="AD47">
        <f>IFERROR(IF(OR(C47="E",C47="W",C47="H"),1,IF(C47 = "S",IF(D47="M",1,0),IF(D47 = "F",1,0))),0)</f>
        <v/>
      </c>
      <c r="AE47">
        <f>IFERROR(IF(OR(E47="M",E47="S"),IF(E47="M",IF(OR(C47="S",C47 = "D"),0,1),IF(OR(C47="W",C47="H"),0,1)),0),0)</f>
        <v/>
      </c>
      <c r="AF47">
        <f>IF(G47="",-1,IF(AND(G47&lt;=TODAY(),ISNUMBER(DATE(YEAR(G47),MONTH(G47),DAY(G47)))),IF(AND(OR(C47="S",C47="D"),J47&gt;24),-1,1),-1))</f>
        <v/>
      </c>
      <c r="AG47">
        <f>IF(OR(I47="CAT 1",I47="CAT 2",I47="CAT 3",I47="CAT 4"),1,0)</f>
        <v/>
      </c>
      <c r="AH47">
        <f>PRODUCT(AF47:AG47)*AE47</f>
        <v/>
      </c>
    </row>
    <row r="48" customFormat="1" s="12">
      <c r="A48" s="37" t="n">
        <v>47</v>
      </c>
      <c r="B48" s="38" t="n"/>
      <c r="C48" s="39" t="n"/>
      <c r="D48" s="65" t="n"/>
      <c r="E48" s="65" t="n"/>
      <c r="F48" s="39" t="n"/>
      <c r="G48" s="2" t="n"/>
      <c r="H48" s="39" t="n"/>
      <c r="I48" s="39" t="n"/>
      <c r="J48" s="50">
        <f>IFERROR(IF(G48="","",ROUNDDOWN(IF($G48="","",(inception_date-$G48)/365.25),0)),0)</f>
        <v/>
      </c>
      <c r="K48" s="37">
        <f>IF(I48="","",IF($AM$3=1,IFERROR(IF(J48=FALSE,"",VLOOKUP(J48,$AJ$1:$AK$18,2,1)),""),IFERROR(IF(J48 = "FALSE","",VLOOKUP(J48,#REF!,2,TRUE)),"")))</f>
        <v/>
      </c>
      <c r="L48" s="37" t="n"/>
      <c r="M48" s="37" t="n"/>
      <c r="N48" s="37" t="n"/>
      <c r="O48" s="41">
        <f>IF(C48="","",IF(R48=1,"Yes","No"))</f>
        <v/>
      </c>
      <c r="P48" s="51">
        <f>IFERROR(IF(C48="","",IF(AND(Census!C48="E",Census!J48&gt;=18,Census!J48&lt;=65),"Yes","No")),"ERROR")</f>
        <v/>
      </c>
      <c r="Q48" s="52">
        <f>IFERROR(IF(C48="","",IF(AND(Census!C48="E",Census!J48&gt;=18,Census!J48&lt;=64),"Yes","No")),"ERROR")</f>
        <v/>
      </c>
      <c r="R48" s="53">
        <f>IF(OR(AB48&lt;&gt;1,AC48&lt;&gt;1,AD48&lt;&gt;1,AF48&lt;&gt;1,AE48&lt;&gt;1,AG48&lt;&gt;1),-1,1)</f>
        <v/>
      </c>
      <c r="S48" s="54">
        <f>AB48</f>
        <v/>
      </c>
      <c r="T48" s="55">
        <f>AC48</f>
        <v/>
      </c>
      <c r="U48" s="55">
        <f>AD48</f>
        <v/>
      </c>
      <c r="V48" s="55">
        <f>AE48</f>
        <v/>
      </c>
      <c r="W48" s="55">
        <f>AF48</f>
        <v/>
      </c>
      <c r="X48" s="56">
        <f>AG48</f>
        <v/>
      </c>
      <c r="Y48" s="10" t="n"/>
      <c r="Z48" s="64" t="inlineStr">
        <is>
          <t>Bahamian</t>
        </is>
      </c>
      <c r="AA48" s="10" t="n"/>
      <c r="AB48">
        <f>IFERROR(IF(OR(B48=0,B48=""),0,1),0)</f>
        <v/>
      </c>
      <c r="AC48">
        <f>IFERROR(IF(OR(C48="S",C48="D"),IF(AND(C48="D",D48="F"),1,IF(AND(C48="S",D48="M"),1,0)),IF(OR(C48="W",C48="H"),IF(OR(AND(C48="W",D48="F"),AND(C48="H",D48="M")),1,),IF(OR(D48="M",D48="F"),1,0))),0)</f>
        <v/>
      </c>
      <c r="AD48">
        <f>IFERROR(IF(OR(C48="E",C48="W",C48="H"),1,IF(C48 = "S",IF(D48="M",1,0),IF(D48 = "F",1,0))),0)</f>
        <v/>
      </c>
      <c r="AE48">
        <f>IFERROR(IF(OR(E48="M",E48="S"),IF(E48="M",IF(OR(C48="S",C48 = "D"),0,1),IF(OR(C48="W",C48="H"),0,1)),0),0)</f>
        <v/>
      </c>
      <c r="AF48">
        <f>IF(G48="",-1,IF(AND(G48&lt;=TODAY(),ISNUMBER(DATE(YEAR(G48),MONTH(G48),DAY(G48)))),IF(AND(OR(C48="S",C48="D"),J48&gt;24),-1,1),-1))</f>
        <v/>
      </c>
      <c r="AG48">
        <f>IF(OR(I48="CAT 1",I48="CAT 2",I48="CAT 3",I48="CAT 4"),1,0)</f>
        <v/>
      </c>
      <c r="AH48">
        <f>PRODUCT(AF48:AG48)*AE48</f>
        <v/>
      </c>
    </row>
    <row r="49" customFormat="1" s="12">
      <c r="A49" s="42" t="n">
        <v>48</v>
      </c>
      <c r="B49" s="43" t="n"/>
      <c r="C49" s="44" t="n"/>
      <c r="D49" s="17" t="n"/>
      <c r="E49" s="17" t="n"/>
      <c r="F49" s="39" t="n"/>
      <c r="G49" s="3" t="n"/>
      <c r="H49" s="44" t="n"/>
      <c r="I49" s="44" t="n"/>
      <c r="J49" s="42">
        <f>IFERROR(IF(G49="","",ROUNDDOWN(IF($G49="","",(inception_date-$G49)/365.25),0)),0)</f>
        <v/>
      </c>
      <c r="K49" s="42">
        <f>IF(I49="","",IF($AM$3=1,IFERROR(IF(J49=FALSE,"",VLOOKUP(J49,$AJ$1:$AK$18,2,1)),""),IFERROR(IF(J49 = "FALSE","",VLOOKUP(J49,#REF!,2,TRUE)),"")))</f>
        <v/>
      </c>
      <c r="L49" s="42" t="n"/>
      <c r="M49" s="42" t="n"/>
      <c r="N49" s="42" t="n"/>
      <c r="O49" s="46">
        <f>IF(C49="","",IF(R49=1,"Yes","No"))</f>
        <v/>
      </c>
      <c r="P49" s="57">
        <f>IFERROR(IF(C49="","",IF(AND(Census!C49="E",Census!J49&gt;=18,Census!J49&lt;=65),"Yes","No")),"ERROR")</f>
        <v/>
      </c>
      <c r="Q49" s="58">
        <f>IFERROR(IF(C49="","",IF(AND(Census!C49="E",Census!J49&gt;=18,Census!J49&lt;=64),"Yes","No")),"ERROR")</f>
        <v/>
      </c>
      <c r="R49" s="59">
        <f>IF(OR(AB49&lt;&gt;1,AC49&lt;&gt;1,AD49&lt;&gt;1,AF49&lt;&gt;1,AE49&lt;&gt;1,AG49&lt;&gt;1),-1,1)</f>
        <v/>
      </c>
      <c r="S49" s="60">
        <f>AB49</f>
        <v/>
      </c>
      <c r="T49" s="61">
        <f>AC49</f>
        <v/>
      </c>
      <c r="U49" s="61">
        <f>AD49</f>
        <v/>
      </c>
      <c r="V49" s="61">
        <f>AE49</f>
        <v/>
      </c>
      <c r="W49" s="61">
        <f>AF49</f>
        <v/>
      </c>
      <c r="X49" s="62">
        <f>AG49</f>
        <v/>
      </c>
      <c r="Y49" s="10" t="n"/>
      <c r="Z49" s="64" t="inlineStr">
        <is>
          <t>Bahraini</t>
        </is>
      </c>
      <c r="AA49" s="10" t="n"/>
      <c r="AB49">
        <f>IFERROR(IF(OR(B49=0,B49=""),0,1),0)</f>
        <v/>
      </c>
      <c r="AC49">
        <f>IFERROR(IF(OR(C49="S",C49="D"),IF(AND(C49="D",D49="F"),1,IF(AND(C49="S",D49="M"),1,0)),IF(OR(C49="W",C49="H"),IF(OR(AND(C49="W",D49="F"),AND(C49="H",D49="M")),1,),IF(OR(D49="M",D49="F"),1,0))),0)</f>
        <v/>
      </c>
      <c r="AD49">
        <f>IFERROR(IF(OR(C49="E",C49="W",C49="H"),1,IF(C49 = "S",IF(D49="M",1,0),IF(D49 = "F",1,0))),0)</f>
        <v/>
      </c>
      <c r="AE49">
        <f>IFERROR(IF(OR(E49="M",E49="S"),IF(E49="M",IF(OR(C49="S",C49 = "D"),0,1),IF(OR(C49="W",C49="H"),0,1)),0),0)</f>
        <v/>
      </c>
      <c r="AF49">
        <f>IF(G49="",-1,IF(AND(G49&lt;=TODAY(),ISNUMBER(DATE(YEAR(G49),MONTH(G49),DAY(G49)))),IF(AND(OR(C49="S",C49="D"),J49&gt;24),-1,1),-1))</f>
        <v/>
      </c>
      <c r="AG49">
        <f>IF(OR(I49="CAT 1",I49="CAT 2",I49="CAT 3",I49="CAT 4"),1,0)</f>
        <v/>
      </c>
      <c r="AH49">
        <f>PRODUCT(AF49:AG49)*AE49</f>
        <v/>
      </c>
    </row>
    <row r="50" customFormat="1" s="12">
      <c r="A50" s="37" t="n">
        <v>49</v>
      </c>
      <c r="B50" s="38" t="n"/>
      <c r="C50" s="39" t="n"/>
      <c r="D50" s="65" t="n"/>
      <c r="E50" s="65" t="n"/>
      <c r="F50" s="39" t="n"/>
      <c r="G50" s="2" t="n"/>
      <c r="H50" s="39" t="n"/>
      <c r="I50" s="39" t="n"/>
      <c r="J50" s="50">
        <f>IFERROR(IF(G50="","",ROUNDDOWN(IF($G50="","",(inception_date-$G50)/365.25),0)),0)</f>
        <v/>
      </c>
      <c r="K50" s="37">
        <f>IF(I50="","",IF($AM$3=1,IFERROR(IF(J50=FALSE,"",VLOOKUP(J50,$AJ$1:$AK$18,2,1)),""),IFERROR(IF(J50 = "FALSE","",VLOOKUP(J50,#REF!,2,TRUE)),"")))</f>
        <v/>
      </c>
      <c r="L50" s="37" t="n"/>
      <c r="M50" s="37" t="n"/>
      <c r="N50" s="37" t="n"/>
      <c r="O50" s="41">
        <f>IF(C50="","",IF(R50=1,"Yes","No"))</f>
        <v/>
      </c>
      <c r="P50" s="51">
        <f>IFERROR(IF(C50="","",IF(AND(Census!C50="E",Census!J50&gt;=18,Census!J50&lt;=65),"Yes","No")),"ERROR")</f>
        <v/>
      </c>
      <c r="Q50" s="52">
        <f>IFERROR(IF(C50="","",IF(AND(Census!C50="E",Census!J50&gt;=18,Census!J50&lt;=64),"Yes","No")),"ERROR")</f>
        <v/>
      </c>
      <c r="R50" s="53">
        <f>IF(OR(AB50&lt;&gt;1,AC50&lt;&gt;1,AD50&lt;&gt;1,AF50&lt;&gt;1,AE50&lt;&gt;1,AG50&lt;&gt;1),-1,1)</f>
        <v/>
      </c>
      <c r="S50" s="54">
        <f>AB50</f>
        <v/>
      </c>
      <c r="T50" s="55">
        <f>AC50</f>
        <v/>
      </c>
      <c r="U50" s="55">
        <f>AD50</f>
        <v/>
      </c>
      <c r="V50" s="55">
        <f>AE50</f>
        <v/>
      </c>
      <c r="W50" s="55">
        <f>AF50</f>
        <v/>
      </c>
      <c r="X50" s="56">
        <f>AG50</f>
        <v/>
      </c>
      <c r="Y50" s="10" t="n"/>
      <c r="Z50" s="64" t="inlineStr">
        <is>
          <t>Bangladeshi</t>
        </is>
      </c>
      <c r="AA50" s="10" t="n"/>
      <c r="AB50">
        <f>IFERROR(IF(OR(B50=0,B50=""),0,1),0)</f>
        <v/>
      </c>
      <c r="AC50">
        <f>IFERROR(IF(OR(C50="S",C50="D"),IF(AND(C50="D",D50="F"),1,IF(AND(C50="S",D50="M"),1,0)),IF(OR(C50="W",C50="H"),IF(OR(AND(C50="W",D50="F"),AND(C50="H",D50="M")),1,),IF(OR(D50="M",D50="F"),1,0))),0)</f>
        <v/>
      </c>
      <c r="AD50">
        <f>IFERROR(IF(OR(C50="E",C50="W",C50="H"),1,IF(C50 = "S",IF(D50="M",1,0),IF(D50 = "F",1,0))),0)</f>
        <v/>
      </c>
      <c r="AE50">
        <f>IFERROR(IF(OR(E50="M",E50="S"),IF(E50="M",IF(OR(C50="S",C50 = "D"),0,1),IF(OR(C50="W",C50="H"),0,1)),0),0)</f>
        <v/>
      </c>
      <c r="AF50">
        <f>IF(G50="",-1,IF(AND(G50&lt;=TODAY(),ISNUMBER(DATE(YEAR(G50),MONTH(G50),DAY(G50)))),IF(AND(OR(C50="S",C50="D"),J50&gt;24),-1,1),-1))</f>
        <v/>
      </c>
      <c r="AG50">
        <f>IF(OR(I50="CAT 1",I50="CAT 2",I50="CAT 3",I50="CAT 4"),1,0)</f>
        <v/>
      </c>
      <c r="AH50">
        <f>PRODUCT(AF50:AG50)*AE50</f>
        <v/>
      </c>
    </row>
    <row r="51" customFormat="1" s="12">
      <c r="A51" s="42" t="n">
        <v>50</v>
      </c>
      <c r="B51" s="43" t="n"/>
      <c r="C51" s="44" t="n"/>
      <c r="D51" s="17" t="n"/>
      <c r="E51" s="45" t="n"/>
      <c r="F51" s="39" t="n"/>
      <c r="G51" s="3" t="n"/>
      <c r="H51" s="44" t="n"/>
      <c r="I51" s="44" t="n"/>
      <c r="J51" s="42">
        <f>IFERROR(IF(G51="","",ROUNDDOWN(IF($G51="","",(inception_date-$G51)/365.25),0)),0)</f>
        <v/>
      </c>
      <c r="K51" s="42">
        <f>IF(I51="","",IF($AM$3=1,IFERROR(IF(J51=FALSE,"",VLOOKUP(J51,$AJ$1:$AK$18,2,1)),""),IFERROR(IF(J51 = "FALSE","",VLOOKUP(J51,#REF!,2,TRUE)),"")))</f>
        <v/>
      </c>
      <c r="L51" s="42" t="n"/>
      <c r="M51" s="42" t="n"/>
      <c r="N51" s="42" t="n"/>
      <c r="O51" s="46">
        <f>IF(C51="","",IF(R51=1,"Yes","No"))</f>
        <v/>
      </c>
      <c r="P51" s="57">
        <f>IFERROR(IF(C51="","",IF(AND(Census!C51="E",Census!J51&gt;=18,Census!J51&lt;=65),"Yes","No")),"ERROR")</f>
        <v/>
      </c>
      <c r="Q51" s="58">
        <f>IFERROR(IF(C51="","",IF(AND(Census!C51="E",Census!J51&gt;=18,Census!J51&lt;=64),"Yes","No")),"ERROR")</f>
        <v/>
      </c>
      <c r="R51" s="59">
        <f>IF(OR(AB51&lt;&gt;1,AC51&lt;&gt;1,AD51&lt;&gt;1,AF51&lt;&gt;1,AE51&lt;&gt;1,AG51&lt;&gt;1),-1,1)</f>
        <v/>
      </c>
      <c r="S51" s="60">
        <f>AB51</f>
        <v/>
      </c>
      <c r="T51" s="61">
        <f>AC51</f>
        <v/>
      </c>
      <c r="U51" s="61">
        <f>AD51</f>
        <v/>
      </c>
      <c r="V51" s="61">
        <f>AE51</f>
        <v/>
      </c>
      <c r="W51" s="61">
        <f>AF51</f>
        <v/>
      </c>
      <c r="X51" s="62">
        <f>AG51</f>
        <v/>
      </c>
      <c r="Y51" s="10" t="n"/>
      <c r="Z51" s="64" t="inlineStr">
        <is>
          <t>Barbadian</t>
        </is>
      </c>
      <c r="AA51" s="10" t="n"/>
      <c r="AB51">
        <f>IFERROR(IF(OR(B51=0,B51=""),0,1),0)</f>
        <v/>
      </c>
      <c r="AC51">
        <f>IFERROR(IF(OR(C51="S",C51="D"),IF(AND(C51="D",D51="F"),1,IF(AND(C51="S",D51="M"),1,0)),IF(OR(C51="W",C51="H"),IF(OR(AND(C51="W",D51="F"),AND(C51="H",D51="M")),1,),IF(OR(D51="M",D51="F"),1,0))),0)</f>
        <v/>
      </c>
      <c r="AD51">
        <f>IFERROR(IF(OR(C51="E",C51="W",C51="H"),1,IF(C51 = "S",IF(D51="M",1,0),IF(D51 = "F",1,0))),0)</f>
        <v/>
      </c>
      <c r="AE51">
        <f>IFERROR(IF(OR(E51="M",E51="S"),IF(E51="M",IF(OR(C51="S",C51 = "D"),0,1),IF(OR(C51="W",C51="H"),0,1)),0),0)</f>
        <v/>
      </c>
      <c r="AF51">
        <f>IF(G51="",-1,IF(AND(G51&lt;=TODAY(),ISNUMBER(DATE(YEAR(G51),MONTH(G51),DAY(G51)))),IF(AND(OR(C51="S",C51="D"),J51&gt;24),-1,1),-1))</f>
        <v/>
      </c>
      <c r="AG51">
        <f>IF(OR(I51="CAT 1",I51="CAT 2",I51="CAT 3",I51="CAT 4"),1,0)</f>
        <v/>
      </c>
      <c r="AH51">
        <f>PRODUCT(AF51:AG51)*AE51</f>
        <v/>
      </c>
    </row>
    <row r="52" customFormat="1" s="12">
      <c r="A52" s="37" t="n">
        <v>51</v>
      </c>
      <c r="B52" s="38" t="n"/>
      <c r="C52" s="39" t="n"/>
      <c r="D52" s="65" t="n"/>
      <c r="E52" s="40" t="n"/>
      <c r="F52" s="39" t="n"/>
      <c r="G52" s="2" t="n"/>
      <c r="H52" s="39" t="n"/>
      <c r="I52" s="39" t="n"/>
      <c r="J52" s="50">
        <f>IFERROR(IF(G52="","",ROUNDDOWN(IF($G52="","",(inception_date-$G52)/365.25),0)),0)</f>
        <v/>
      </c>
      <c r="K52" s="37">
        <f>IF(I52="","",IF($AM$3=1,IFERROR(IF(J52=FALSE,"",VLOOKUP(J52,$AJ$1:$AK$18,2,1)),""),IFERROR(IF(J52 = "FALSE","",VLOOKUP(J52,#REF!,2,TRUE)),"")))</f>
        <v/>
      </c>
      <c r="L52" s="37" t="n"/>
      <c r="M52" s="37" t="n"/>
      <c r="N52" s="37" t="n"/>
      <c r="O52" s="41">
        <f>IF(C52="","",IF(R52=1,"Yes","No"))</f>
        <v/>
      </c>
      <c r="P52" s="51">
        <f>IFERROR(IF(C52="","",IF(AND(Census!C52="E",Census!J52&gt;=18,Census!J52&lt;=65),"Yes","No")),"ERROR")</f>
        <v/>
      </c>
      <c r="Q52" s="52">
        <f>IFERROR(IF(C52="","",IF(AND(Census!C52="E",Census!J52&gt;=18,Census!J52&lt;=64),"Yes","No")),"ERROR")</f>
        <v/>
      </c>
      <c r="R52" s="53">
        <f>IF(OR(AB52&lt;&gt;1,AC52&lt;&gt;1,AD52&lt;&gt;1,AF52&lt;&gt;1,AE52&lt;&gt;1,AG52&lt;&gt;1),-1,1)</f>
        <v/>
      </c>
      <c r="S52" s="54">
        <f>AB52</f>
        <v/>
      </c>
      <c r="T52" s="55">
        <f>AC52</f>
        <v/>
      </c>
      <c r="U52" s="55">
        <f>AD52</f>
        <v/>
      </c>
      <c r="V52" s="55">
        <f>AE52</f>
        <v/>
      </c>
      <c r="W52" s="55">
        <f>AF52</f>
        <v/>
      </c>
      <c r="X52" s="56">
        <f>AG52</f>
        <v/>
      </c>
      <c r="Y52" s="10" t="n"/>
      <c r="Z52" s="64" t="inlineStr">
        <is>
          <t>Basotho</t>
        </is>
      </c>
      <c r="AA52" s="10" t="n"/>
      <c r="AB52">
        <f>IFERROR(IF(OR(B52=0,B52=""),0,1),0)</f>
        <v/>
      </c>
      <c r="AC52">
        <f>IFERROR(IF(OR(C52="S",C52="D"),IF(AND(C52="D",D52="F"),1,IF(AND(C52="S",D52="M"),1,0)),IF(OR(C52="W",C52="H"),IF(OR(AND(C52="W",D52="F"),AND(C52="H",D52="M")),1,),IF(OR(D52="M",D52="F"),1,0))),0)</f>
        <v/>
      </c>
      <c r="AD52">
        <f>IFERROR(IF(OR(C52="E",C52="W",C52="H"),1,IF(C52 = "S",IF(D52="M",1,0),IF(D52 = "F",1,0))),0)</f>
        <v/>
      </c>
      <c r="AE52">
        <f>IFERROR(IF(OR(E52="M",E52="S"),IF(E52="M",IF(OR(C52="S",C52 = "D"),0,1),IF(OR(C52="W",C52="H"),0,1)),0),0)</f>
        <v/>
      </c>
      <c r="AF52">
        <f>IF(G52="",-1,IF(AND(G52&lt;=TODAY(),ISNUMBER(DATE(YEAR(G52),MONTH(G52),DAY(G52)))),IF(AND(OR(C52="S",C52="D"),J52&gt;24),-1,1),-1))</f>
        <v/>
      </c>
      <c r="AG52">
        <f>IF(OR(I52="CAT 1",I52="CAT 2",I52="CAT 3",I52="CAT 4"),1,0)</f>
        <v/>
      </c>
      <c r="AH52">
        <f>PRODUCT(AF52:AG52)*AE52</f>
        <v/>
      </c>
    </row>
    <row r="53" customFormat="1" s="12">
      <c r="A53" s="42" t="n">
        <v>52</v>
      </c>
      <c r="B53" s="43" t="n"/>
      <c r="C53" s="44" t="n"/>
      <c r="D53" s="17" t="n"/>
      <c r="E53" s="17" t="n"/>
      <c r="F53" s="39" t="n"/>
      <c r="G53" s="3" t="n"/>
      <c r="H53" s="44" t="n"/>
      <c r="I53" s="44" t="n"/>
      <c r="J53" s="42">
        <f>IFERROR(IF(G53="","",ROUNDDOWN(IF($G53="","",(inception_date-$G53)/365.25),0)),0)</f>
        <v/>
      </c>
      <c r="K53" s="42">
        <f>IF(I53="","",IF($AM$3=1,IFERROR(IF(J53=FALSE,"",VLOOKUP(J53,$AJ$1:$AK$18,2,1)),""),IFERROR(IF(J53 = "FALSE","",VLOOKUP(J53,#REF!,2,TRUE)),"")))</f>
        <v/>
      </c>
      <c r="L53" s="42" t="n"/>
      <c r="M53" s="42" t="n"/>
      <c r="N53" s="42" t="n"/>
      <c r="O53" s="46">
        <f>IF(C53="","",IF(R53=1,"Yes","No"))</f>
        <v/>
      </c>
      <c r="P53" s="57">
        <f>IFERROR(IF(C53="","",IF(AND(Census!C53="E",Census!J53&gt;=18,Census!J53&lt;=65),"Yes","No")),"ERROR")</f>
        <v/>
      </c>
      <c r="Q53" s="58">
        <f>IFERROR(IF(C53="","",IF(AND(Census!C53="E",Census!J53&gt;=18,Census!J53&lt;=64),"Yes","No")),"ERROR")</f>
        <v/>
      </c>
      <c r="R53" s="59">
        <f>IF(OR(AB53&lt;&gt;1,AC53&lt;&gt;1,AD53&lt;&gt;1,AF53&lt;&gt;1,AE53&lt;&gt;1,AG53&lt;&gt;1),-1,1)</f>
        <v/>
      </c>
      <c r="S53" s="60">
        <f>AB53</f>
        <v/>
      </c>
      <c r="T53" s="61">
        <f>AC53</f>
        <v/>
      </c>
      <c r="U53" s="61">
        <f>AD53</f>
        <v/>
      </c>
      <c r="V53" s="61">
        <f>AE53</f>
        <v/>
      </c>
      <c r="W53" s="61">
        <f>AF53</f>
        <v/>
      </c>
      <c r="X53" s="62">
        <f>AG53</f>
        <v/>
      </c>
      <c r="Y53" s="10" t="n"/>
      <c r="Z53" s="64" t="inlineStr">
        <is>
          <t>Belarusian</t>
        </is>
      </c>
      <c r="AA53" s="10" t="n"/>
      <c r="AB53">
        <f>IFERROR(IF(OR(B53=0,B53=""),0,1),0)</f>
        <v/>
      </c>
      <c r="AC53">
        <f>IFERROR(IF(OR(C53="S",C53="D"),IF(AND(C53="D",D53="F"),1,IF(AND(C53="S",D53="M"),1,0)),IF(OR(C53="W",C53="H"),IF(OR(AND(C53="W",D53="F"),AND(C53="H",D53="M")),1,),IF(OR(D53="M",D53="F"),1,0))),0)</f>
        <v/>
      </c>
      <c r="AD53">
        <f>IFERROR(IF(OR(C53="E",C53="W",C53="H"),1,IF(C53 = "S",IF(D53="M",1,0),IF(D53 = "F",1,0))),0)</f>
        <v/>
      </c>
      <c r="AE53">
        <f>IFERROR(IF(OR(E53="M",E53="S"),IF(E53="M",IF(OR(C53="S",C53 = "D"),0,1),IF(OR(C53="W",C53="H"),0,1)),0),0)</f>
        <v/>
      </c>
      <c r="AF53">
        <f>IF(G53="",-1,IF(AND(G53&lt;=TODAY(),ISNUMBER(DATE(YEAR(G53),MONTH(G53),DAY(G53)))),IF(AND(OR(C53="S",C53="D"),J53&gt;24),-1,1),-1))</f>
        <v/>
      </c>
      <c r="AG53">
        <f>IF(OR(I53="CAT 1",I53="CAT 2",I53="CAT 3",I53="CAT 4"),1,0)</f>
        <v/>
      </c>
      <c r="AH53">
        <f>PRODUCT(AF53:AG53)*AE53</f>
        <v/>
      </c>
    </row>
    <row r="54" customFormat="1" s="12">
      <c r="A54" s="37" t="n">
        <v>53</v>
      </c>
      <c r="B54" s="38" t="n"/>
      <c r="C54" s="39" t="n"/>
      <c r="D54" s="65" t="n"/>
      <c r="E54" s="65" t="n"/>
      <c r="F54" s="39" t="n"/>
      <c r="G54" s="2" t="n"/>
      <c r="H54" s="39" t="n"/>
      <c r="I54" s="39" t="n"/>
      <c r="J54" s="50">
        <f>IFERROR(IF(G54="","",ROUNDDOWN(IF($G54="","",(inception_date-$G54)/365.25),0)),0)</f>
        <v/>
      </c>
      <c r="K54" s="37">
        <f>IF(I54="","",IF($AM$3=1,IFERROR(IF(J54=FALSE,"",VLOOKUP(J54,$AJ$1:$AK$18,2,1)),""),IFERROR(IF(J54 = "FALSE","",VLOOKUP(J54,#REF!,2,TRUE)),"")))</f>
        <v/>
      </c>
      <c r="L54" s="37" t="n"/>
      <c r="M54" s="37" t="n"/>
      <c r="N54" s="37" t="n"/>
      <c r="O54" s="41">
        <f>IF(C54="","",IF(R54=1,"Yes","No"))</f>
        <v/>
      </c>
      <c r="P54" s="51">
        <f>IFERROR(IF(C54="","",IF(AND(Census!C54="E",Census!J54&gt;=18,Census!J54&lt;=65),"Yes","No")),"ERROR")</f>
        <v/>
      </c>
      <c r="Q54" s="52">
        <f>IFERROR(IF(C54="","",IF(AND(Census!C54="E",Census!J54&gt;=18,Census!J54&lt;=64),"Yes","No")),"ERROR")</f>
        <v/>
      </c>
      <c r="R54" s="53">
        <f>IF(OR(AB54&lt;&gt;1,AC54&lt;&gt;1,AD54&lt;&gt;1,AF54&lt;&gt;1,AE54&lt;&gt;1,AG54&lt;&gt;1),-1,1)</f>
        <v/>
      </c>
      <c r="S54" s="54">
        <f>AB54</f>
        <v/>
      </c>
      <c r="T54" s="55">
        <f>AC54</f>
        <v/>
      </c>
      <c r="U54" s="55">
        <f>AD54</f>
        <v/>
      </c>
      <c r="V54" s="55">
        <f>AE54</f>
        <v/>
      </c>
      <c r="W54" s="55">
        <f>AF54</f>
        <v/>
      </c>
      <c r="X54" s="56">
        <f>AG54</f>
        <v/>
      </c>
      <c r="Y54" s="10" t="n"/>
      <c r="Z54" s="64" t="inlineStr">
        <is>
          <t>Belgian</t>
        </is>
      </c>
      <c r="AA54" s="10" t="n"/>
      <c r="AB54">
        <f>IFERROR(IF(OR(B54=0,B54=""),0,1),0)</f>
        <v/>
      </c>
      <c r="AC54">
        <f>IFERROR(IF(OR(C54="S",C54="D"),IF(AND(C54="D",D54="F"),1,IF(AND(C54="S",D54="M"),1,0)),IF(OR(C54="W",C54="H"),IF(OR(AND(C54="W",D54="F"),AND(C54="H",D54="M")),1,),IF(OR(D54="M",D54="F"),1,0))),0)</f>
        <v/>
      </c>
      <c r="AD54">
        <f>IFERROR(IF(OR(C54="E",C54="W",C54="H"),1,IF(C54 = "S",IF(D54="M",1,0),IF(D54 = "F",1,0))),0)</f>
        <v/>
      </c>
      <c r="AE54">
        <f>IFERROR(IF(OR(E54="M",E54="S"),IF(E54="M",IF(OR(C54="S",C54 = "D"),0,1),IF(OR(C54="W",C54="H"),0,1)),0),0)</f>
        <v/>
      </c>
      <c r="AF54">
        <f>IF(G54="",-1,IF(AND(G54&lt;=TODAY(),ISNUMBER(DATE(YEAR(G54),MONTH(G54),DAY(G54)))),IF(AND(OR(C54="S",C54="D"),J54&gt;24),-1,1),-1))</f>
        <v/>
      </c>
      <c r="AG54">
        <f>IF(OR(I54="CAT 1",I54="CAT 2",I54="CAT 3",I54="CAT 4"),1,0)</f>
        <v/>
      </c>
      <c r="AH54">
        <f>PRODUCT(AF54:AG54)*AE54</f>
        <v/>
      </c>
    </row>
    <row r="55" customFormat="1" s="12">
      <c r="A55" s="42" t="n">
        <v>54</v>
      </c>
      <c r="B55" s="43" t="n"/>
      <c r="C55" s="44" t="n"/>
      <c r="D55" s="17" t="n"/>
      <c r="E55" s="17" t="n"/>
      <c r="F55" s="39" t="n"/>
      <c r="G55" s="3" t="n"/>
      <c r="H55" s="44" t="n"/>
      <c r="I55" s="44" t="n"/>
      <c r="J55" s="42">
        <f>IFERROR(IF(G55="","",ROUNDDOWN(IF($G55="","",(inception_date-$G55)/365.25),0)),0)</f>
        <v/>
      </c>
      <c r="K55" s="42">
        <f>IF(I55="","",IF($AM$3=1,IFERROR(IF(J55=FALSE,"",VLOOKUP(J55,$AJ$1:$AK$18,2,1)),""),IFERROR(IF(J55 = "FALSE","",VLOOKUP(J55,#REF!,2,TRUE)),"")))</f>
        <v/>
      </c>
      <c r="L55" s="42" t="n"/>
      <c r="M55" s="42" t="n"/>
      <c r="N55" s="42" t="n"/>
      <c r="O55" s="46">
        <f>IF(C55="","",IF(R55=1,"Yes","No"))</f>
        <v/>
      </c>
      <c r="P55" s="57">
        <f>IFERROR(IF(C55="","",IF(AND(Census!C55="E",Census!J55&gt;=18,Census!J55&lt;=65),"Yes","No")),"ERROR")</f>
        <v/>
      </c>
      <c r="Q55" s="58">
        <f>IFERROR(IF(C55="","",IF(AND(Census!C55="E",Census!J55&gt;=18,Census!J55&lt;=64),"Yes","No")),"ERROR")</f>
        <v/>
      </c>
      <c r="R55" s="59">
        <f>IF(OR(AB55&lt;&gt;1,AC55&lt;&gt;1,AD55&lt;&gt;1,AF55&lt;&gt;1,AE55&lt;&gt;1,AG55&lt;&gt;1),-1,1)</f>
        <v/>
      </c>
      <c r="S55" s="60">
        <f>AB55</f>
        <v/>
      </c>
      <c r="T55" s="61">
        <f>AC55</f>
        <v/>
      </c>
      <c r="U55" s="61">
        <f>AD55</f>
        <v/>
      </c>
      <c r="V55" s="61">
        <f>AE55</f>
        <v/>
      </c>
      <c r="W55" s="61">
        <f>AF55</f>
        <v/>
      </c>
      <c r="X55" s="62">
        <f>AG55</f>
        <v/>
      </c>
      <c r="Y55" s="10" t="n"/>
      <c r="Z55" s="64" t="inlineStr">
        <is>
          <t>Belizean</t>
        </is>
      </c>
      <c r="AA55" s="10" t="n"/>
      <c r="AB55">
        <f>IFERROR(IF(OR(B55=0,B55=""),0,1),0)</f>
        <v/>
      </c>
      <c r="AC55">
        <f>IFERROR(IF(OR(C55="S",C55="D"),IF(AND(C55="D",D55="F"),1,IF(AND(C55="S",D55="M"),1,0)),IF(OR(C55="W",C55="H"),IF(OR(AND(C55="W",D55="F"),AND(C55="H",D55="M")),1,),IF(OR(D55="M",D55="F"),1,0))),0)</f>
        <v/>
      </c>
      <c r="AD55">
        <f>IFERROR(IF(OR(C55="E",C55="W",C55="H"),1,IF(C55 = "S",IF(D55="M",1,0),IF(D55 = "F",1,0))),0)</f>
        <v/>
      </c>
      <c r="AE55">
        <f>IFERROR(IF(OR(E55="M",E55="S"),IF(E55="M",IF(OR(C55="S",C55 = "D"),0,1),IF(OR(C55="W",C55="H"),0,1)),0),0)</f>
        <v/>
      </c>
      <c r="AF55">
        <f>IF(G55="",-1,IF(AND(G55&lt;=TODAY(),ISNUMBER(DATE(YEAR(G55),MONTH(G55),DAY(G55)))),IF(AND(OR(C55="S",C55="D"),J55&gt;24),-1,1),-1))</f>
        <v/>
      </c>
      <c r="AG55">
        <f>IF(OR(I55="CAT 1",I55="CAT 2",I55="CAT 3",I55="CAT 4"),1,0)</f>
        <v/>
      </c>
      <c r="AH55">
        <f>PRODUCT(AF55:AG55)*AE55</f>
        <v/>
      </c>
    </row>
    <row r="56" customFormat="1" s="12">
      <c r="A56" s="37" t="n">
        <v>55</v>
      </c>
      <c r="B56" s="38" t="n"/>
      <c r="C56" s="39" t="n"/>
      <c r="D56" s="65" t="n"/>
      <c r="E56" s="65" t="n"/>
      <c r="F56" s="39" t="n"/>
      <c r="G56" s="2" t="n"/>
      <c r="H56" s="39" t="n"/>
      <c r="I56" s="39" t="n"/>
      <c r="J56" s="50">
        <f>IFERROR(IF(G56="","",ROUNDDOWN(IF($G56="","",(inception_date-$G56)/365.25),0)),0)</f>
        <v/>
      </c>
      <c r="K56" s="37">
        <f>IF(I56="","",IF($AM$3=1,IFERROR(IF(J56=FALSE,"",VLOOKUP(J56,$AJ$1:$AK$18,2,1)),""),IFERROR(IF(J56 = "FALSE","",VLOOKUP(J56,#REF!,2,TRUE)),"")))</f>
        <v/>
      </c>
      <c r="L56" s="37" t="n"/>
      <c r="M56" s="37" t="n"/>
      <c r="N56" s="37" t="n"/>
      <c r="O56" s="41">
        <f>IF(C56="","",IF(R56=1,"Yes","No"))</f>
        <v/>
      </c>
      <c r="P56" s="51">
        <f>IFERROR(IF(C56="","",IF(AND(Census!C56="E",Census!J56&gt;=18,Census!J56&lt;=65),"Yes","No")),"ERROR")</f>
        <v/>
      </c>
      <c r="Q56" s="52">
        <f>IFERROR(IF(C56="","",IF(AND(Census!C56="E",Census!J56&gt;=18,Census!J56&lt;=64),"Yes","No")),"ERROR")</f>
        <v/>
      </c>
      <c r="R56" s="53">
        <f>IF(OR(AB56&lt;&gt;1,AC56&lt;&gt;1,AD56&lt;&gt;1,AF56&lt;&gt;1,AE56&lt;&gt;1,AG56&lt;&gt;1),-1,1)</f>
        <v/>
      </c>
      <c r="S56" s="54">
        <f>AB56</f>
        <v/>
      </c>
      <c r="T56" s="55">
        <f>AC56</f>
        <v/>
      </c>
      <c r="U56" s="55">
        <f>AD56</f>
        <v/>
      </c>
      <c r="V56" s="55">
        <f>AE56</f>
        <v/>
      </c>
      <c r="W56" s="55">
        <f>AF56</f>
        <v/>
      </c>
      <c r="X56" s="56">
        <f>AG56</f>
        <v/>
      </c>
      <c r="Y56" s="10" t="n"/>
      <c r="Z56" s="64" t="inlineStr">
        <is>
          <t>Beninese</t>
        </is>
      </c>
      <c r="AA56" s="10" t="n"/>
      <c r="AB56">
        <f>IFERROR(IF(OR(B56=0,B56=""),0,1),0)</f>
        <v/>
      </c>
      <c r="AC56">
        <f>IFERROR(IF(OR(C56="S",C56="D"),IF(AND(C56="D",D56="F"),1,IF(AND(C56="S",D56="M"),1,0)),IF(OR(C56="W",C56="H"),IF(OR(AND(C56="W",D56="F"),AND(C56="H",D56="M")),1,),IF(OR(D56="M",D56="F"),1,0))),0)</f>
        <v/>
      </c>
      <c r="AD56">
        <f>IFERROR(IF(OR(C56="E",C56="W",C56="H"),1,IF(C56 = "S",IF(D56="M",1,0),IF(D56 = "F",1,0))),0)</f>
        <v/>
      </c>
      <c r="AE56">
        <f>IFERROR(IF(OR(E56="M",E56="S"),IF(E56="M",IF(OR(C56="S",C56 = "D"),0,1),IF(OR(C56="W",C56="H"),0,1)),0),0)</f>
        <v/>
      </c>
      <c r="AF56">
        <f>IF(G56="",-1,IF(AND(G56&lt;=TODAY(),ISNUMBER(DATE(YEAR(G56),MONTH(G56),DAY(G56)))),IF(AND(OR(C56="S",C56="D"),J56&gt;24),-1,1),-1))</f>
        <v/>
      </c>
      <c r="AG56">
        <f>IF(OR(I56="CAT 1",I56="CAT 2",I56="CAT 3",I56="CAT 4"),1,0)</f>
        <v/>
      </c>
      <c r="AH56">
        <f>PRODUCT(AF56:AG56)*AE56</f>
        <v/>
      </c>
    </row>
    <row r="57" customFormat="1" s="12">
      <c r="A57" s="42" t="n">
        <v>56</v>
      </c>
      <c r="B57" s="43" t="n"/>
      <c r="C57" s="44" t="n"/>
      <c r="D57" s="17" t="n"/>
      <c r="E57" s="45" t="n"/>
      <c r="F57" s="39" t="n"/>
      <c r="G57" s="3" t="n"/>
      <c r="H57" s="44" t="n"/>
      <c r="I57" s="44" t="n"/>
      <c r="J57" s="42">
        <f>IFERROR(IF(G57="","",ROUNDDOWN(IF($G57="","",(inception_date-$G57)/365.25),0)),0)</f>
        <v/>
      </c>
      <c r="K57" s="42">
        <f>IF(I57="","",IF($AM$3=1,IFERROR(IF(J57=FALSE,"",VLOOKUP(J57,$AJ$1:$AK$18,2,1)),""),IFERROR(IF(J57 = "FALSE","",VLOOKUP(J57,#REF!,2,TRUE)),"")))</f>
        <v/>
      </c>
      <c r="L57" s="42" t="n"/>
      <c r="M57" s="42" t="n"/>
      <c r="N57" s="42" t="n"/>
      <c r="O57" s="46">
        <f>IF(C57="","",IF(R57=1,"Yes","No"))</f>
        <v/>
      </c>
      <c r="P57" s="57">
        <f>IFERROR(IF(C57="","",IF(AND(Census!C57="E",Census!J57&gt;=18,Census!J57&lt;=65),"Yes","No")),"ERROR")</f>
        <v/>
      </c>
      <c r="Q57" s="58">
        <f>IFERROR(IF(C57="","",IF(AND(Census!C57="E",Census!J57&gt;=18,Census!J57&lt;=64),"Yes","No")),"ERROR")</f>
        <v/>
      </c>
      <c r="R57" s="59">
        <f>IF(OR(AB57&lt;&gt;1,AC57&lt;&gt;1,AD57&lt;&gt;1,AF57&lt;&gt;1,AE57&lt;&gt;1,AG57&lt;&gt;1),-1,1)</f>
        <v/>
      </c>
      <c r="S57" s="60">
        <f>AB57</f>
        <v/>
      </c>
      <c r="T57" s="61">
        <f>AC57</f>
        <v/>
      </c>
      <c r="U57" s="61">
        <f>AD57</f>
        <v/>
      </c>
      <c r="V57" s="61">
        <f>AE57</f>
        <v/>
      </c>
      <c r="W57" s="61">
        <f>AF57</f>
        <v/>
      </c>
      <c r="X57" s="62">
        <f>AG57</f>
        <v/>
      </c>
      <c r="Y57" s="10" t="n"/>
      <c r="Z57" s="64" t="inlineStr">
        <is>
          <t>Bermudian</t>
        </is>
      </c>
      <c r="AA57" s="10" t="n"/>
      <c r="AB57">
        <f>IFERROR(IF(OR(B57=0,B57=""),0,1),0)</f>
        <v/>
      </c>
      <c r="AC57">
        <f>IFERROR(IF(OR(C57="S",C57="D"),IF(AND(C57="D",D57="F"),1,IF(AND(C57="S",D57="M"),1,0)),IF(OR(C57="W",C57="H"),IF(OR(AND(C57="W",D57="F"),AND(C57="H",D57="M")),1,),IF(OR(D57="M",D57="F"),1,0))),0)</f>
        <v/>
      </c>
      <c r="AD57">
        <f>IFERROR(IF(OR(C57="E",C57="W",C57="H"),1,IF(C57 = "S",IF(D57="M",1,0),IF(D57 = "F",1,0))),0)</f>
        <v/>
      </c>
      <c r="AE57">
        <f>IFERROR(IF(OR(E57="M",E57="S"),IF(E57="M",IF(OR(C57="S",C57 = "D"),0,1),IF(OR(C57="W",C57="H"),0,1)),0),0)</f>
        <v/>
      </c>
      <c r="AF57">
        <f>IF(G57="",-1,IF(AND(G57&lt;=TODAY(),ISNUMBER(DATE(YEAR(G57),MONTH(G57),DAY(G57)))),IF(AND(OR(C57="S",C57="D"),J57&gt;24),-1,1),-1))</f>
        <v/>
      </c>
      <c r="AG57">
        <f>IF(OR(I57="CAT 1",I57="CAT 2",I57="CAT 3",I57="CAT 4"),1,0)</f>
        <v/>
      </c>
      <c r="AH57">
        <f>PRODUCT(AF57:AG57)*AE57</f>
        <v/>
      </c>
    </row>
    <row r="58" customFormat="1" s="12">
      <c r="A58" s="37" t="n">
        <v>57</v>
      </c>
      <c r="B58" s="38" t="n"/>
      <c r="C58" s="39" t="n"/>
      <c r="D58" s="65" t="n"/>
      <c r="E58" s="65" t="n"/>
      <c r="F58" s="39" t="n"/>
      <c r="G58" s="2" t="n"/>
      <c r="H58" s="39" t="n"/>
      <c r="I58" s="39" t="n"/>
      <c r="J58" s="50">
        <f>IFERROR(IF(G58="","",ROUNDDOWN(IF($G58="","",(inception_date-$G58)/365.25),0)),0)</f>
        <v/>
      </c>
      <c r="K58" s="37">
        <f>IF(I58="","",IF($AM$3=1,IFERROR(IF(J58=FALSE,"",VLOOKUP(J58,$AJ$1:$AK$18,2,1)),""),IFERROR(IF(J58 = "FALSE","",VLOOKUP(J58,#REF!,2,TRUE)),"")))</f>
        <v/>
      </c>
      <c r="L58" s="37" t="n"/>
      <c r="M58" s="37" t="n"/>
      <c r="N58" s="37" t="n"/>
      <c r="O58" s="41">
        <f>IF(C58="","",IF(R58=1,"Yes","No"))</f>
        <v/>
      </c>
      <c r="P58" s="51">
        <f>IFERROR(IF(C58="","",IF(AND(Census!C58="E",Census!J58&gt;=18,Census!J58&lt;=65),"Yes","No")),"ERROR")</f>
        <v/>
      </c>
      <c r="Q58" s="52">
        <f>IFERROR(IF(C58="","",IF(AND(Census!C58="E",Census!J58&gt;=18,Census!J58&lt;=64),"Yes","No")),"ERROR")</f>
        <v/>
      </c>
      <c r="R58" s="53">
        <f>IF(OR(AB58&lt;&gt;1,AC58&lt;&gt;1,AD58&lt;&gt;1,AF58&lt;&gt;1,AE58&lt;&gt;1,AG58&lt;&gt;1),-1,1)</f>
        <v/>
      </c>
      <c r="S58" s="54">
        <f>AB58</f>
        <v/>
      </c>
      <c r="T58" s="55">
        <f>AC58</f>
        <v/>
      </c>
      <c r="U58" s="55">
        <f>AD58</f>
        <v/>
      </c>
      <c r="V58" s="55">
        <f>AE58</f>
        <v/>
      </c>
      <c r="W58" s="55">
        <f>AF58</f>
        <v/>
      </c>
      <c r="X58" s="56">
        <f>AG58</f>
        <v/>
      </c>
      <c r="Y58" s="10" t="n"/>
      <c r="Z58" s="64" t="inlineStr">
        <is>
          <t>Bhutanese</t>
        </is>
      </c>
      <c r="AA58" s="10" t="n"/>
      <c r="AB58">
        <f>IFERROR(IF(OR(B58=0,B58=""),0,1),0)</f>
        <v/>
      </c>
      <c r="AC58">
        <f>IFERROR(IF(OR(C58="S",C58="D"),IF(AND(C58="D",D58="F"),1,IF(AND(C58="S",D58="M"),1,0)),IF(OR(C58="W",C58="H"),IF(OR(AND(C58="W",D58="F"),AND(C58="H",D58="M")),1,),IF(OR(D58="M",D58="F"),1,0))),0)</f>
        <v/>
      </c>
      <c r="AD58">
        <f>IFERROR(IF(OR(C58="E",C58="W",C58="H"),1,IF(C58 = "S",IF(D58="M",1,0),IF(D58 = "F",1,0))),0)</f>
        <v/>
      </c>
      <c r="AE58">
        <f>IFERROR(IF(OR(E58="M",E58="S"),IF(E58="M",IF(OR(C58="S",C58 = "D"),0,1),IF(OR(C58="W",C58="H"),0,1)),0),0)</f>
        <v/>
      </c>
      <c r="AF58">
        <f>IF(G58="",-1,IF(AND(G58&lt;=TODAY(),ISNUMBER(DATE(YEAR(G58),MONTH(G58),DAY(G58)))),IF(AND(OR(C58="S",C58="D"),J58&gt;24),-1,1),-1))</f>
        <v/>
      </c>
      <c r="AG58">
        <f>IF(OR(I58="CAT 1",I58="CAT 2",I58="CAT 3",I58="CAT 4"),1,0)</f>
        <v/>
      </c>
      <c r="AH58">
        <f>PRODUCT(AF58:AG58)*AE58</f>
        <v/>
      </c>
    </row>
    <row r="59" customFormat="1" s="12">
      <c r="A59" s="42" t="n">
        <v>58</v>
      </c>
      <c r="B59" s="43" t="n"/>
      <c r="C59" s="44" t="n"/>
      <c r="D59" s="17" t="n"/>
      <c r="E59" s="17" t="n"/>
      <c r="F59" s="39" t="n"/>
      <c r="G59" s="3" t="n"/>
      <c r="H59" s="44" t="n"/>
      <c r="I59" s="44" t="n"/>
      <c r="J59" s="42">
        <f>IFERROR(IF(G59="","",ROUNDDOWN(IF($G59="","",(inception_date-$G59)/365.25),0)),0)</f>
        <v/>
      </c>
      <c r="K59" s="42">
        <f>IF(I59="","",IF($AM$3=1,IFERROR(IF(J59=FALSE,"",VLOOKUP(J59,$AJ$1:$AK$18,2,1)),""),IFERROR(IF(J59 = "FALSE","",VLOOKUP(J59,#REF!,2,TRUE)),"")))</f>
        <v/>
      </c>
      <c r="L59" s="42" t="n"/>
      <c r="M59" s="42" t="n"/>
      <c r="N59" s="42" t="n"/>
      <c r="O59" s="46">
        <f>IF(C59="","",IF(R59=1,"Yes","No"))</f>
        <v/>
      </c>
      <c r="P59" s="57">
        <f>IFERROR(IF(C59="","",IF(AND(Census!C59="E",Census!J59&gt;=18,Census!J59&lt;=65),"Yes","No")),"ERROR")</f>
        <v/>
      </c>
      <c r="Q59" s="58">
        <f>IFERROR(IF(C59="","",IF(AND(Census!C59="E",Census!J59&gt;=18,Census!J59&lt;=64),"Yes","No")),"ERROR")</f>
        <v/>
      </c>
      <c r="R59" s="59">
        <f>IF(OR(AB59&lt;&gt;1,AC59&lt;&gt;1,AD59&lt;&gt;1,AF59&lt;&gt;1,AE59&lt;&gt;1,AG59&lt;&gt;1),-1,1)</f>
        <v/>
      </c>
      <c r="S59" s="60">
        <f>AB59</f>
        <v/>
      </c>
      <c r="T59" s="61">
        <f>AC59</f>
        <v/>
      </c>
      <c r="U59" s="61">
        <f>AD59</f>
        <v/>
      </c>
      <c r="V59" s="61">
        <f>AE59</f>
        <v/>
      </c>
      <c r="W59" s="61">
        <f>AF59</f>
        <v/>
      </c>
      <c r="X59" s="62">
        <f>AG59</f>
        <v/>
      </c>
      <c r="Y59" s="10" t="n"/>
      <c r="Z59" s="64" t="inlineStr">
        <is>
          <t>Bolivian</t>
        </is>
      </c>
      <c r="AA59" s="10" t="n"/>
      <c r="AB59">
        <f>IFERROR(IF(OR(B59=0,B59=""),0,1),0)</f>
        <v/>
      </c>
      <c r="AC59">
        <f>IFERROR(IF(OR(C59="S",C59="D"),IF(AND(C59="D",D59="F"),1,IF(AND(C59="S",D59="M"),1,0)),IF(OR(C59="W",C59="H"),IF(OR(AND(C59="W",D59="F"),AND(C59="H",D59="M")),1,),IF(OR(D59="M",D59="F"),1,0))),0)</f>
        <v/>
      </c>
      <c r="AD59">
        <f>IFERROR(IF(OR(C59="E",C59="W",C59="H"),1,IF(C59 = "S",IF(D59="M",1,0),IF(D59 = "F",1,0))),0)</f>
        <v/>
      </c>
      <c r="AE59">
        <f>IFERROR(IF(OR(E59="M",E59="S"),IF(E59="M",IF(OR(C59="S",C59 = "D"),0,1),IF(OR(C59="W",C59="H"),0,1)),0),0)</f>
        <v/>
      </c>
      <c r="AF59">
        <f>IF(G59="",-1,IF(AND(G59&lt;=TODAY(),ISNUMBER(DATE(YEAR(G59),MONTH(G59),DAY(G59)))),IF(AND(OR(C59="S",C59="D"),J59&gt;24),-1,1),-1))</f>
        <v/>
      </c>
      <c r="AG59">
        <f>IF(OR(I59="CAT 1",I59="CAT 2",I59="CAT 3",I59="CAT 4"),1,0)</f>
        <v/>
      </c>
      <c r="AH59">
        <f>PRODUCT(AF59:AG59)*AE59</f>
        <v/>
      </c>
    </row>
    <row r="60" customFormat="1" s="12">
      <c r="A60" s="37" t="n">
        <v>59</v>
      </c>
      <c r="B60" s="38" t="n"/>
      <c r="C60" s="39" t="n"/>
      <c r="D60" s="65" t="n"/>
      <c r="E60" s="40" t="n"/>
      <c r="F60" s="39" t="n"/>
      <c r="G60" s="2" t="n"/>
      <c r="H60" s="39" t="n"/>
      <c r="I60" s="39" t="n"/>
      <c r="J60" s="50">
        <f>IFERROR(IF(G60="","",ROUNDDOWN(IF($G60="","",(inception_date-$G60)/365.25),0)),0)</f>
        <v/>
      </c>
      <c r="K60" s="37">
        <f>IF(I60="","",IF($AM$3=1,IFERROR(IF(J60=FALSE,"",VLOOKUP(J60,$AJ$1:$AK$18,2,1)),""),IFERROR(IF(J60 = "FALSE","",VLOOKUP(J60,#REF!,2,TRUE)),"")))</f>
        <v/>
      </c>
      <c r="L60" s="37" t="n"/>
      <c r="M60" s="37" t="n"/>
      <c r="N60" s="37" t="n"/>
      <c r="O60" s="41">
        <f>IF(C60="","",IF(R60=1,"Yes","No"))</f>
        <v/>
      </c>
      <c r="P60" s="51">
        <f>IFERROR(IF(C60="","",IF(AND(Census!C60="E",Census!J60&gt;=18,Census!J60&lt;=65),"Yes","No")),"ERROR")</f>
        <v/>
      </c>
      <c r="Q60" s="52">
        <f>IFERROR(IF(C60="","",IF(AND(Census!C60="E",Census!J60&gt;=18,Census!J60&lt;=64),"Yes","No")),"ERROR")</f>
        <v/>
      </c>
      <c r="R60" s="53">
        <f>IF(OR(AB60&lt;&gt;1,AC60&lt;&gt;1,AD60&lt;&gt;1,AF60&lt;&gt;1,AE60&lt;&gt;1,AG60&lt;&gt;1),-1,1)</f>
        <v/>
      </c>
      <c r="S60" s="54">
        <f>AB60</f>
        <v/>
      </c>
      <c r="T60" s="55">
        <f>AC60</f>
        <v/>
      </c>
      <c r="U60" s="55">
        <f>AD60</f>
        <v/>
      </c>
      <c r="V60" s="55">
        <f>AE60</f>
        <v/>
      </c>
      <c r="W60" s="55">
        <f>AF60</f>
        <v/>
      </c>
      <c r="X60" s="56">
        <f>AG60</f>
        <v/>
      </c>
      <c r="Y60" s="10" t="n"/>
      <c r="Z60" s="64" t="inlineStr">
        <is>
          <t>Bosnian</t>
        </is>
      </c>
      <c r="AA60" s="10" t="n"/>
      <c r="AB60">
        <f>IFERROR(IF(OR(B60=0,B60=""),0,1),0)</f>
        <v/>
      </c>
      <c r="AC60">
        <f>IFERROR(IF(OR(C60="S",C60="D"),IF(AND(C60="D",D60="F"),1,IF(AND(C60="S",D60="M"),1,0)),IF(OR(C60="W",C60="H"),IF(OR(AND(C60="W",D60="F"),AND(C60="H",D60="M")),1,),IF(OR(D60="M",D60="F"),1,0))),0)</f>
        <v/>
      </c>
      <c r="AD60">
        <f>IFERROR(IF(OR(C60="E",C60="W",C60="H"),1,IF(C60 = "S",IF(D60="M",1,0),IF(D60 = "F",1,0))),0)</f>
        <v/>
      </c>
      <c r="AE60">
        <f>IFERROR(IF(OR(E60="M",E60="S"),IF(E60="M",IF(OR(C60="S",C60 = "D"),0,1),IF(OR(C60="W",C60="H"),0,1)),0),0)</f>
        <v/>
      </c>
      <c r="AF60">
        <f>IF(G60="",-1,IF(AND(G60&lt;=TODAY(),ISNUMBER(DATE(YEAR(G60),MONTH(G60),DAY(G60)))),IF(AND(OR(C60="S",C60="D"),J60&gt;24),-1,1),-1))</f>
        <v/>
      </c>
      <c r="AG60">
        <f>IF(OR(I60="CAT 1",I60="CAT 2",I60="CAT 3",I60="CAT 4"),1,0)</f>
        <v/>
      </c>
      <c r="AH60">
        <f>PRODUCT(AF60:AG60)*AE60</f>
        <v/>
      </c>
    </row>
    <row r="61" customFormat="1" s="12">
      <c r="A61" s="42" t="n">
        <v>60</v>
      </c>
      <c r="B61" s="43" t="n"/>
      <c r="C61" s="44" t="n"/>
      <c r="D61" s="17" t="n"/>
      <c r="E61" s="45" t="n"/>
      <c r="F61" s="39" t="n"/>
      <c r="G61" s="3" t="n"/>
      <c r="H61" s="44" t="n"/>
      <c r="I61" s="44" t="n"/>
      <c r="J61" s="42">
        <f>IFERROR(IF(G61="","",ROUNDDOWN(IF($G61="","",(inception_date-$G61)/365.25),0)),0)</f>
        <v/>
      </c>
      <c r="K61" s="42">
        <f>IF(I61="","",IF($AM$3=1,IFERROR(IF(J61=FALSE,"",VLOOKUP(J61,$AJ$1:$AK$18,2,1)),""),IFERROR(IF(J61 = "FALSE","",VLOOKUP(J61,#REF!,2,TRUE)),"")))</f>
        <v/>
      </c>
      <c r="L61" s="42" t="n"/>
      <c r="M61" s="42" t="n"/>
      <c r="N61" s="42" t="n"/>
      <c r="O61" s="46">
        <f>IF(C61="","",IF(R61=1,"Yes","No"))</f>
        <v/>
      </c>
      <c r="P61" s="57">
        <f>IFERROR(IF(C61="","",IF(AND(Census!C61="E",Census!J61&gt;=18,Census!J61&lt;=65),"Yes","No")),"ERROR")</f>
        <v/>
      </c>
      <c r="Q61" s="58">
        <f>IFERROR(IF(C61="","",IF(AND(Census!C61="E",Census!J61&gt;=18,Census!J61&lt;=64),"Yes","No")),"ERROR")</f>
        <v/>
      </c>
      <c r="R61" s="59">
        <f>IF(OR(AB61&lt;&gt;1,AC61&lt;&gt;1,AD61&lt;&gt;1,AF61&lt;&gt;1,AE61&lt;&gt;1,AG61&lt;&gt;1),-1,1)</f>
        <v/>
      </c>
      <c r="S61" s="60">
        <f>AB61</f>
        <v/>
      </c>
      <c r="T61" s="61">
        <f>AC61</f>
        <v/>
      </c>
      <c r="U61" s="61">
        <f>AD61</f>
        <v/>
      </c>
      <c r="V61" s="61">
        <f>AE61</f>
        <v/>
      </c>
      <c r="W61" s="61">
        <f>AF61</f>
        <v/>
      </c>
      <c r="X61" s="62">
        <f>AG61</f>
        <v/>
      </c>
      <c r="Y61" s="10" t="n"/>
      <c r="Z61" s="64" t="inlineStr">
        <is>
          <t>Bouvet Island</t>
        </is>
      </c>
      <c r="AA61" s="10" t="n"/>
      <c r="AB61">
        <f>IFERROR(IF(OR(B61=0,B61=""),0,1),0)</f>
        <v/>
      </c>
      <c r="AC61">
        <f>IFERROR(IF(OR(C61="S",C61="D"),IF(AND(C61="D",D61="F"),1,IF(AND(C61="S",D61="M"),1,0)),IF(OR(C61="W",C61="H"),IF(OR(AND(C61="W",D61="F"),AND(C61="H",D61="M")),1,),IF(OR(D61="M",D61="F"),1,0))),0)</f>
        <v/>
      </c>
      <c r="AD61">
        <f>IFERROR(IF(OR(C61="E",C61="W",C61="H"),1,IF(C61 = "S",IF(D61="M",1,0),IF(D61 = "F",1,0))),0)</f>
        <v/>
      </c>
      <c r="AE61">
        <f>IFERROR(IF(OR(E61="M",E61="S"),IF(E61="M",IF(OR(C61="S",C61 = "D"),0,1),IF(OR(C61="W",C61="H"),0,1)),0),0)</f>
        <v/>
      </c>
      <c r="AF61">
        <f>IF(G61="",-1,IF(AND(G61&lt;=TODAY(),ISNUMBER(DATE(YEAR(G61),MONTH(G61),DAY(G61)))),IF(AND(OR(C61="S",C61="D"),J61&gt;24),-1,1),-1))</f>
        <v/>
      </c>
      <c r="AG61">
        <f>IF(OR(I61="CAT 1",I61="CAT 2",I61="CAT 3",I61="CAT 4"),1,0)</f>
        <v/>
      </c>
      <c r="AH61">
        <f>PRODUCT(AF61:AG61)*AE61</f>
        <v/>
      </c>
    </row>
    <row r="62" customFormat="1" s="12">
      <c r="A62" s="37" t="n">
        <v>61</v>
      </c>
      <c r="B62" s="38" t="n"/>
      <c r="C62" s="39" t="n"/>
      <c r="D62" s="65" t="n"/>
      <c r="E62" s="65" t="n"/>
      <c r="F62" s="39" t="n"/>
      <c r="G62" s="2" t="n"/>
      <c r="H62" s="39" t="n"/>
      <c r="I62" s="39" t="n"/>
      <c r="J62" s="50">
        <f>IFERROR(IF(G62="","",ROUNDDOWN(IF($G62="","",(inception_date-$G62)/365.25),0)),0)</f>
        <v/>
      </c>
      <c r="K62" s="37">
        <f>IF(I62="","",IF($AM$3=1,IFERROR(IF(J62=FALSE,"",VLOOKUP(J62,$AJ$1:$AK$18,2,1)),""),IFERROR(IF(J62 = "FALSE","",VLOOKUP(J62,#REF!,2,TRUE)),"")))</f>
        <v/>
      </c>
      <c r="L62" s="37" t="n"/>
      <c r="M62" s="37" t="n"/>
      <c r="N62" s="37" t="n"/>
      <c r="O62" s="41">
        <f>IF(C62="","",IF(R62=1,"Yes","No"))</f>
        <v/>
      </c>
      <c r="P62" s="51">
        <f>IFERROR(IF(C62="","",IF(AND(Census!C62="E",Census!J62&gt;=18,Census!J62&lt;=65),"Yes","No")),"ERROR")</f>
        <v/>
      </c>
      <c r="Q62" s="52">
        <f>IFERROR(IF(C62="","",IF(AND(Census!C62="E",Census!J62&gt;=18,Census!J62&lt;=64),"Yes","No")),"ERROR")</f>
        <v/>
      </c>
      <c r="R62" s="53">
        <f>IF(OR(AB62&lt;&gt;1,AC62&lt;&gt;1,AD62&lt;&gt;1,AF62&lt;&gt;1,AE62&lt;&gt;1,AG62&lt;&gt;1),-1,1)</f>
        <v/>
      </c>
      <c r="S62" s="54">
        <f>AB62</f>
        <v/>
      </c>
      <c r="T62" s="55">
        <f>AC62</f>
        <v/>
      </c>
      <c r="U62" s="55">
        <f>AD62</f>
        <v/>
      </c>
      <c r="V62" s="55">
        <f>AE62</f>
        <v/>
      </c>
      <c r="W62" s="55">
        <f>AF62</f>
        <v/>
      </c>
      <c r="X62" s="56">
        <f>AG62</f>
        <v/>
      </c>
      <c r="Y62" s="10" t="n"/>
      <c r="Z62" s="64" t="inlineStr">
        <is>
          <t>Brazilian</t>
        </is>
      </c>
      <c r="AA62" s="10" t="n"/>
      <c r="AB62">
        <f>IFERROR(IF(OR(B62=0,B62=""),0,1),0)</f>
        <v/>
      </c>
      <c r="AC62">
        <f>IFERROR(IF(OR(C62="S",C62="D"),IF(AND(C62="D",D62="F"),1,IF(AND(C62="S",D62="M"),1,0)),IF(OR(C62="W",C62="H"),IF(OR(AND(C62="W",D62="F"),AND(C62="H",D62="M")),1,),IF(OR(D62="M",D62="F"),1,0))),0)</f>
        <v/>
      </c>
      <c r="AD62">
        <f>IFERROR(IF(OR(C62="E",C62="W",C62="H"),1,IF(C62 = "S",IF(D62="M",1,0),IF(D62 = "F",1,0))),0)</f>
        <v/>
      </c>
      <c r="AE62">
        <f>IFERROR(IF(OR(E62="M",E62="S"),IF(E62="M",IF(OR(C62="S",C62 = "D"),0,1),IF(OR(C62="W",C62="H"),0,1)),0),0)</f>
        <v/>
      </c>
      <c r="AF62">
        <f>IF(G62="",-1,IF(AND(G62&lt;=TODAY(),ISNUMBER(DATE(YEAR(G62),MONTH(G62),DAY(G62)))),IF(AND(OR(C62="S",C62="D"),J62&gt;24),-1,1),-1))</f>
        <v/>
      </c>
      <c r="AG62">
        <f>IF(OR(I62="CAT 1",I62="CAT 2",I62="CAT 3",I62="CAT 4"),1,0)</f>
        <v/>
      </c>
      <c r="AH62">
        <f>PRODUCT(AF62:AG62)*AE62</f>
        <v/>
      </c>
    </row>
    <row r="63" customFormat="1" s="12">
      <c r="A63" s="42" t="n">
        <v>62</v>
      </c>
      <c r="B63" s="43" t="n"/>
      <c r="C63" s="44" t="n"/>
      <c r="D63" s="17" t="n"/>
      <c r="E63" s="45" t="n"/>
      <c r="F63" s="39" t="n"/>
      <c r="G63" s="3" t="n"/>
      <c r="H63" s="44" t="n"/>
      <c r="I63" s="44" t="n"/>
      <c r="J63" s="42">
        <f>IFERROR(IF(G63="","",ROUNDDOWN(IF($G63="","",(inception_date-$G63)/365.25),0)),0)</f>
        <v/>
      </c>
      <c r="K63" s="42">
        <f>IF(I63="","",IF($AM$3=1,IFERROR(IF(J63=FALSE,"",VLOOKUP(J63,$AJ$1:$AK$18,2,1)),""),IFERROR(IF(J63 = "FALSE","",VLOOKUP(J63,#REF!,2,TRUE)),"")))</f>
        <v/>
      </c>
      <c r="L63" s="42" t="n"/>
      <c r="M63" s="42" t="n"/>
      <c r="N63" s="42" t="n"/>
      <c r="O63" s="46">
        <f>IF(C63="","",IF(R63=1,"Yes","No"))</f>
        <v/>
      </c>
      <c r="P63" s="57">
        <f>IFERROR(IF(C63="","",IF(AND(Census!C63="E",Census!J63&gt;=18,Census!J63&lt;=65),"Yes","No")),"ERROR")</f>
        <v/>
      </c>
      <c r="Q63" s="58">
        <f>IFERROR(IF(C63="","",IF(AND(Census!C63="E",Census!J63&gt;=18,Census!J63&lt;=64),"Yes","No")),"ERROR")</f>
        <v/>
      </c>
      <c r="R63" s="59">
        <f>IF(OR(AB63&lt;&gt;1,AC63&lt;&gt;1,AD63&lt;&gt;1,AF63&lt;&gt;1,AE63&lt;&gt;1,AG63&lt;&gt;1),-1,1)</f>
        <v/>
      </c>
      <c r="S63" s="60">
        <f>AB63</f>
        <v/>
      </c>
      <c r="T63" s="61">
        <f>AC63</f>
        <v/>
      </c>
      <c r="U63" s="61">
        <f>AD63</f>
        <v/>
      </c>
      <c r="V63" s="61">
        <f>AE63</f>
        <v/>
      </c>
      <c r="W63" s="61">
        <f>AF63</f>
        <v/>
      </c>
      <c r="X63" s="62">
        <f>AG63</f>
        <v/>
      </c>
      <c r="Y63" s="10" t="n"/>
      <c r="Z63" s="64" t="inlineStr">
        <is>
          <t>British</t>
        </is>
      </c>
      <c r="AA63" s="10" t="n"/>
      <c r="AB63">
        <f>IFERROR(IF(OR(B63=0,B63=""),0,1),0)</f>
        <v/>
      </c>
      <c r="AC63">
        <f>IFERROR(IF(OR(C63="S",C63="D"),IF(AND(C63="D",D63="F"),1,IF(AND(C63="S",D63="M"),1,0)),IF(OR(C63="W",C63="H"),IF(OR(AND(C63="W",D63="F"),AND(C63="H",D63="M")),1,),IF(OR(D63="M",D63="F"),1,0))),0)</f>
        <v/>
      </c>
      <c r="AD63">
        <f>IFERROR(IF(OR(C63="E",C63="W",C63="H"),1,IF(C63 = "S",IF(D63="M",1,0),IF(D63 = "F",1,0))),0)</f>
        <v/>
      </c>
      <c r="AE63">
        <f>IFERROR(IF(OR(E63="M",E63="S"),IF(E63="M",IF(OR(C63="S",C63 = "D"),0,1),IF(OR(C63="W",C63="H"),0,1)),0),0)</f>
        <v/>
      </c>
      <c r="AF63">
        <f>IF(G63="",-1,IF(AND(G63&lt;=TODAY(),ISNUMBER(DATE(YEAR(G63),MONTH(G63),DAY(G63)))),IF(AND(OR(C63="S",C63="D"),J63&gt;24),-1,1),-1))</f>
        <v/>
      </c>
      <c r="AG63">
        <f>IF(OR(I63="CAT 1",I63="CAT 2",I63="CAT 3",I63="CAT 4"),1,0)</f>
        <v/>
      </c>
      <c r="AH63">
        <f>PRODUCT(AF63:AG63)*AE63</f>
        <v/>
      </c>
    </row>
    <row r="64" customFormat="1" s="12">
      <c r="A64" s="37" t="n">
        <v>63</v>
      </c>
      <c r="B64" s="38" t="n"/>
      <c r="C64" s="39" t="n"/>
      <c r="D64" s="65" t="n"/>
      <c r="E64" s="40" t="n"/>
      <c r="F64" s="39" t="n"/>
      <c r="G64" s="2" t="n"/>
      <c r="H64" s="39" t="n"/>
      <c r="I64" s="39" t="n"/>
      <c r="J64" s="50">
        <f>IFERROR(IF(G64="","",ROUNDDOWN(IF($G64="","",(inception_date-$G64)/365.25),0)),0)</f>
        <v/>
      </c>
      <c r="K64" s="37">
        <f>IF(I64="","",IF($AM$3=1,IFERROR(IF(J64=FALSE,"",VLOOKUP(J64,$AJ$1:$AK$18,2,1)),""),IFERROR(IF(J64 = "FALSE","",VLOOKUP(J64,#REF!,2,TRUE)),"")))</f>
        <v/>
      </c>
      <c r="L64" s="37" t="n"/>
      <c r="M64" s="37" t="n"/>
      <c r="N64" s="37" t="n"/>
      <c r="O64" s="41">
        <f>IF(C64="","",IF(R64=1,"Yes","No"))</f>
        <v/>
      </c>
      <c r="P64" s="51">
        <f>IFERROR(IF(C64="","",IF(AND(Census!C64="E",Census!J64&gt;=18,Census!J64&lt;=65),"Yes","No")),"ERROR")</f>
        <v/>
      </c>
      <c r="Q64" s="52">
        <f>IFERROR(IF(C64="","",IF(AND(Census!C64="E",Census!J64&gt;=18,Census!J64&lt;=64),"Yes","No")),"ERROR")</f>
        <v/>
      </c>
      <c r="R64" s="53">
        <f>IF(OR(AB64&lt;&gt;1,AC64&lt;&gt;1,AD64&lt;&gt;1,AF64&lt;&gt;1,AE64&lt;&gt;1,AG64&lt;&gt;1),-1,1)</f>
        <v/>
      </c>
      <c r="S64" s="54">
        <f>AB64</f>
        <v/>
      </c>
      <c r="T64" s="55">
        <f>AC64</f>
        <v/>
      </c>
      <c r="U64" s="55">
        <f>AD64</f>
        <v/>
      </c>
      <c r="V64" s="55">
        <f>AE64</f>
        <v/>
      </c>
      <c r="W64" s="55">
        <f>AF64</f>
        <v/>
      </c>
      <c r="X64" s="56">
        <f>AG64</f>
        <v/>
      </c>
      <c r="Y64" s="10" t="n"/>
      <c r="Z64" s="64" t="inlineStr">
        <is>
          <t>British Indian Ocean Territory</t>
        </is>
      </c>
      <c r="AA64" s="10" t="n"/>
      <c r="AB64">
        <f>IFERROR(IF(OR(B64=0,B64=""),0,1),0)</f>
        <v/>
      </c>
      <c r="AC64">
        <f>IFERROR(IF(OR(C64="S",C64="D"),IF(AND(C64="D",D64="F"),1,IF(AND(C64="S",D64="M"),1,0)),IF(OR(C64="W",C64="H"),IF(OR(AND(C64="W",D64="F"),AND(C64="H",D64="M")),1,),IF(OR(D64="M",D64="F"),1,0))),0)</f>
        <v/>
      </c>
      <c r="AD64">
        <f>IFERROR(IF(OR(C64="E",C64="W",C64="H"),1,IF(C64 = "S",IF(D64="M",1,0),IF(D64 = "F",1,0))),0)</f>
        <v/>
      </c>
      <c r="AE64">
        <f>IFERROR(IF(OR(E64="M",E64="S"),IF(E64="M",IF(OR(C64="S",C64 = "D"),0,1),IF(OR(C64="W",C64="H"),0,1)),0),0)</f>
        <v/>
      </c>
      <c r="AF64">
        <f>IF(G64="",-1,IF(AND(G64&lt;=TODAY(),ISNUMBER(DATE(YEAR(G64),MONTH(G64),DAY(G64)))),IF(AND(OR(C64="S",C64="D"),J64&gt;24),-1,1),-1))</f>
        <v/>
      </c>
      <c r="AG64">
        <f>IF(OR(I64="CAT 1",I64="CAT 2",I64="CAT 3",I64="CAT 4"),1,0)</f>
        <v/>
      </c>
      <c r="AH64">
        <f>PRODUCT(AF64:AG64)*AE64</f>
        <v/>
      </c>
    </row>
    <row r="65" customFormat="1" s="12">
      <c r="A65" s="42" t="n">
        <v>64</v>
      </c>
      <c r="B65" s="43" t="n"/>
      <c r="C65" s="44" t="n"/>
      <c r="D65" s="17" t="n"/>
      <c r="E65" s="17" t="n"/>
      <c r="F65" s="39" t="n"/>
      <c r="G65" s="3" t="n"/>
      <c r="H65" s="44" t="n"/>
      <c r="I65" s="44" t="n"/>
      <c r="J65" s="42">
        <f>IFERROR(IF(G65="","",ROUNDDOWN(IF($G65="","",(inception_date-$G65)/365.25),0)),0)</f>
        <v/>
      </c>
      <c r="K65" s="42">
        <f>IF(I65="","",IF($AM$3=1,IFERROR(IF(J65=FALSE,"",VLOOKUP(J65,$AJ$1:$AK$18,2,1)),""),IFERROR(IF(J65 = "FALSE","",VLOOKUP(J65,#REF!,2,TRUE)),"")))</f>
        <v/>
      </c>
      <c r="L65" s="42" t="n"/>
      <c r="M65" s="42" t="n"/>
      <c r="N65" s="42" t="n"/>
      <c r="O65" s="46">
        <f>IF(C65="","",IF(R65=1,"Yes","No"))</f>
        <v/>
      </c>
      <c r="P65" s="57">
        <f>IFERROR(IF(C65="","",IF(AND(Census!C65="E",Census!J65&gt;=18,Census!J65&lt;=65),"Yes","No")),"ERROR")</f>
        <v/>
      </c>
      <c r="Q65" s="58">
        <f>IFERROR(IF(C65="","",IF(AND(Census!C65="E",Census!J65&gt;=18,Census!J65&lt;=64),"Yes","No")),"ERROR")</f>
        <v/>
      </c>
      <c r="R65" s="59">
        <f>IF(OR(AB65&lt;&gt;1,AC65&lt;&gt;1,AD65&lt;&gt;1,AF65&lt;&gt;1,AE65&lt;&gt;1,AG65&lt;&gt;1),-1,1)</f>
        <v/>
      </c>
      <c r="S65" s="60">
        <f>AB65</f>
        <v/>
      </c>
      <c r="T65" s="61">
        <f>AC65</f>
        <v/>
      </c>
      <c r="U65" s="61">
        <f>AD65</f>
        <v/>
      </c>
      <c r="V65" s="61">
        <f>AE65</f>
        <v/>
      </c>
      <c r="W65" s="61">
        <f>AF65</f>
        <v/>
      </c>
      <c r="X65" s="62">
        <f>AG65</f>
        <v/>
      </c>
      <c r="Y65" s="10" t="n"/>
      <c r="Z65" s="64" t="inlineStr">
        <is>
          <t>Bruneian</t>
        </is>
      </c>
      <c r="AA65" s="10" t="n"/>
      <c r="AB65">
        <f>IFERROR(IF(OR(B65=0,B65=""),0,1),0)</f>
        <v/>
      </c>
      <c r="AC65">
        <f>IFERROR(IF(OR(C65="S",C65="D"),IF(AND(C65="D",D65="F"),1,IF(AND(C65="S",D65="M"),1,0)),IF(OR(C65="W",C65="H"),IF(OR(AND(C65="W",D65="F"),AND(C65="H",D65="M")),1,),IF(OR(D65="M",D65="F"),1,0))),0)</f>
        <v/>
      </c>
      <c r="AD65">
        <f>IFERROR(IF(OR(C65="E",C65="W",C65="H"),1,IF(C65 = "S",IF(D65="M",1,0),IF(D65 = "F",1,0))),0)</f>
        <v/>
      </c>
      <c r="AE65">
        <f>IFERROR(IF(OR(E65="M",E65="S"),IF(E65="M",IF(OR(C65="S",C65 = "D"),0,1),IF(OR(C65="W",C65="H"),0,1)),0),0)</f>
        <v/>
      </c>
      <c r="AF65">
        <f>IF(G65="",-1,IF(AND(G65&lt;=TODAY(),ISNUMBER(DATE(YEAR(G65),MONTH(G65),DAY(G65)))),IF(AND(OR(C65="S",C65="D"),J65&gt;24),-1,1),-1))</f>
        <v/>
      </c>
      <c r="AG65">
        <f>IF(OR(I65="CAT 1",I65="CAT 2",I65="CAT 3",I65="CAT 4"),1,0)</f>
        <v/>
      </c>
      <c r="AH65">
        <f>PRODUCT(AF65:AG65)*AE65</f>
        <v/>
      </c>
    </row>
    <row r="66" customFormat="1" s="12">
      <c r="A66" s="37" t="n">
        <v>65</v>
      </c>
      <c r="B66" s="38" t="n"/>
      <c r="C66" s="39" t="n"/>
      <c r="D66" s="65" t="n"/>
      <c r="E66" s="65" t="n"/>
      <c r="F66" s="39" t="n"/>
      <c r="G66" s="2" t="n"/>
      <c r="H66" s="39" t="n"/>
      <c r="I66" s="39" t="n"/>
      <c r="J66" s="50">
        <f>IFERROR(IF(G66="","",ROUNDDOWN(IF($G66="","",(inception_date-$G66)/365.25),0)),0)</f>
        <v/>
      </c>
      <c r="K66" s="37">
        <f>IF(I66="","",IF($AM$3=1,IFERROR(IF(J66=FALSE,"",VLOOKUP(J66,$AJ$1:$AK$18,2,1)),""),IFERROR(IF(J66 = "FALSE","",VLOOKUP(J66,#REF!,2,TRUE)),"")))</f>
        <v/>
      </c>
      <c r="L66" s="37" t="n"/>
      <c r="M66" s="37" t="n"/>
      <c r="N66" s="37" t="n"/>
      <c r="O66" s="41">
        <f>IF(C66="","",IF(R66=1,"Yes","No"))</f>
        <v/>
      </c>
      <c r="P66" s="51">
        <f>IFERROR(IF(C66="","",IF(AND(Census!C66="E",Census!J66&gt;=18,Census!J66&lt;=65),"Yes","No")),"ERROR")</f>
        <v/>
      </c>
      <c r="Q66" s="52">
        <f>IFERROR(IF(C66="","",IF(AND(Census!C66="E",Census!J66&gt;=18,Census!J66&lt;=64),"Yes","No")),"ERROR")</f>
        <v/>
      </c>
      <c r="R66" s="53">
        <f>IF(OR(AB66&lt;&gt;1,AC66&lt;&gt;1,AD66&lt;&gt;1,AF66&lt;&gt;1,AE66&lt;&gt;1,AG66&lt;&gt;1),-1,1)</f>
        <v/>
      </c>
      <c r="S66" s="54">
        <f>AB66</f>
        <v/>
      </c>
      <c r="T66" s="55">
        <f>AC66</f>
        <v/>
      </c>
      <c r="U66" s="55">
        <f>AD66</f>
        <v/>
      </c>
      <c r="V66" s="55">
        <f>AE66</f>
        <v/>
      </c>
      <c r="W66" s="55">
        <f>AF66</f>
        <v/>
      </c>
      <c r="X66" s="56">
        <f>AG66</f>
        <v/>
      </c>
      <c r="Y66" s="10" t="n"/>
      <c r="Z66" s="64" t="inlineStr">
        <is>
          <t>Bulgarian</t>
        </is>
      </c>
      <c r="AA66" s="10" t="n"/>
      <c r="AB66">
        <f>IFERROR(IF(OR(B66=0,B66=""),0,1),0)</f>
        <v/>
      </c>
      <c r="AC66">
        <f>IFERROR(IF(OR(C66="S",C66="D"),IF(AND(C66="D",D66="F"),1,IF(AND(C66="S",D66="M"),1,0)),IF(OR(C66="W",C66="H"),IF(OR(AND(C66="W",D66="F"),AND(C66="H",D66="M")),1,),IF(OR(D66="M",D66="F"),1,0))),0)</f>
        <v/>
      </c>
      <c r="AD66">
        <f>IFERROR(IF(OR(C66="E",C66="W",C66="H"),1,IF(C66 = "S",IF(D66="M",1,0),IF(D66 = "F",1,0))),0)</f>
        <v/>
      </c>
      <c r="AE66">
        <f>IFERROR(IF(OR(E66="M",E66="S"),IF(E66="M",IF(OR(C66="S",C66 = "D"),0,1),IF(OR(C66="W",C66="H"),0,1)),0),0)</f>
        <v/>
      </c>
      <c r="AF66">
        <f>IF(G66="",-1,IF(AND(G66&lt;=TODAY(),ISNUMBER(DATE(YEAR(G66),MONTH(G66),DAY(G66)))),IF(AND(OR(C66="S",C66="D"),J66&gt;24),-1,1),-1))</f>
        <v/>
      </c>
      <c r="AG66">
        <f>IF(OR(I66="CAT 1",I66="CAT 2",I66="CAT 3",I66="CAT 4"),1,0)</f>
        <v/>
      </c>
      <c r="AH66">
        <f>PRODUCT(AF66:AG66)*AE66</f>
        <v/>
      </c>
    </row>
    <row r="67" customFormat="1" s="12">
      <c r="A67" s="42" t="n">
        <v>66</v>
      </c>
      <c r="B67" s="43" t="n"/>
      <c r="C67" s="44" t="n"/>
      <c r="D67" s="17" t="n"/>
      <c r="E67" s="17" t="n"/>
      <c r="F67" s="39" t="n"/>
      <c r="G67" s="3" t="n"/>
      <c r="H67" s="44" t="n"/>
      <c r="I67" s="44" t="n"/>
      <c r="J67" s="42">
        <f>IFERROR(IF(G67="","",ROUNDDOWN(IF($G67="","",(inception_date-$G67)/365.25),0)),0)</f>
        <v/>
      </c>
      <c r="K67" s="42">
        <f>IF(I67="","",IF($AM$3=1,IFERROR(IF(J67=FALSE,"",VLOOKUP(J67,$AJ$1:$AK$18,2,1)),""),IFERROR(IF(J67 = "FALSE","",VLOOKUP(J67,#REF!,2,TRUE)),"")))</f>
        <v/>
      </c>
      <c r="L67" s="42" t="n"/>
      <c r="M67" s="42" t="n"/>
      <c r="N67" s="42" t="n"/>
      <c r="O67" s="46">
        <f>IF(C67="","",IF(R67=1,"Yes","No"))</f>
        <v/>
      </c>
      <c r="P67" s="57">
        <f>IFERROR(IF(C67="","",IF(AND(Census!C67="E",Census!J67&gt;=18,Census!J67&lt;=65),"Yes","No")),"ERROR")</f>
        <v/>
      </c>
      <c r="Q67" s="58">
        <f>IFERROR(IF(C67="","",IF(AND(Census!C67="E",Census!J67&gt;=18,Census!J67&lt;=64),"Yes","No")),"ERROR")</f>
        <v/>
      </c>
      <c r="R67" s="59">
        <f>IF(OR(AB67&lt;&gt;1,AC67&lt;&gt;1,AD67&lt;&gt;1,AF67&lt;&gt;1,AE67&lt;&gt;1,AG67&lt;&gt;1),-1,1)</f>
        <v/>
      </c>
      <c r="S67" s="60">
        <f>AB67</f>
        <v/>
      </c>
      <c r="T67" s="61">
        <f>AC67</f>
        <v/>
      </c>
      <c r="U67" s="61">
        <f>AD67</f>
        <v/>
      </c>
      <c r="V67" s="61">
        <f>AE67</f>
        <v/>
      </c>
      <c r="W67" s="61">
        <f>AF67</f>
        <v/>
      </c>
      <c r="X67" s="62">
        <f>AG67</f>
        <v/>
      </c>
      <c r="Y67" s="10" t="n"/>
      <c r="Z67" s="64" t="inlineStr">
        <is>
          <t>Burkina Faso</t>
        </is>
      </c>
      <c r="AA67" s="10" t="n"/>
      <c r="AB67">
        <f>IFERROR(IF(OR(B67=0,B67=""),0,1),0)</f>
        <v/>
      </c>
      <c r="AC67">
        <f>IFERROR(IF(OR(C67="S",C67="D"),IF(AND(C67="D",D67="F"),1,IF(AND(C67="S",D67="M"),1,0)),IF(OR(C67="W",C67="H"),IF(OR(AND(C67="W",D67="F"),AND(C67="H",D67="M")),1,),IF(OR(D67="M",D67="F"),1,0))),0)</f>
        <v/>
      </c>
      <c r="AD67">
        <f>IFERROR(IF(OR(C67="E",C67="W",C67="H"),1,IF(C67 = "S",IF(D67="M",1,0),IF(D67 = "F",1,0))),0)</f>
        <v/>
      </c>
      <c r="AE67">
        <f>IFERROR(IF(OR(E67="M",E67="S"),IF(E67="M",IF(OR(C67="S",C67 = "D"),0,1),IF(OR(C67="W",C67="H"),0,1)),0),0)</f>
        <v/>
      </c>
      <c r="AF67">
        <f>IF(G67="",-1,IF(AND(G67&lt;=TODAY(),ISNUMBER(DATE(YEAR(G67),MONTH(G67),DAY(G67)))),IF(AND(OR(C67="S",C67="D"),J67&gt;24),-1,1),-1))</f>
        <v/>
      </c>
      <c r="AG67">
        <f>IF(OR(I67="CAT 1",I67="CAT 2",I67="CAT 3",I67="CAT 4"),1,0)</f>
        <v/>
      </c>
      <c r="AH67">
        <f>PRODUCT(AF67:AG67)*AE67</f>
        <v/>
      </c>
    </row>
    <row r="68" customFormat="1" s="12">
      <c r="A68" s="37" t="n">
        <v>67</v>
      </c>
      <c r="B68" s="38" t="n"/>
      <c r="C68" s="39" t="n"/>
      <c r="D68" s="65" t="n"/>
      <c r="E68" s="40" t="n"/>
      <c r="F68" s="39" t="n"/>
      <c r="G68" s="2" t="n"/>
      <c r="H68" s="39" t="n"/>
      <c r="I68" s="39" t="n"/>
      <c r="J68" s="50">
        <f>IFERROR(IF(G68="","",ROUNDDOWN(IF($G68="","",(inception_date-$G68)/365.25),0)),0)</f>
        <v/>
      </c>
      <c r="K68" s="37">
        <f>IF(I68="","",IF($AM$3=1,IFERROR(IF(J68=FALSE,"",VLOOKUP(J68,$AJ$1:$AK$18,2,1)),""),IFERROR(IF(J68 = "FALSE","",VLOOKUP(J68,#REF!,2,TRUE)),"")))</f>
        <v/>
      </c>
      <c r="L68" s="37" t="n"/>
      <c r="M68" s="37" t="n"/>
      <c r="N68" s="37" t="n"/>
      <c r="O68" s="41">
        <f>IF(C68="","",IF(R68=1,"Yes","No"))</f>
        <v/>
      </c>
      <c r="P68" s="51">
        <f>IFERROR(IF(C68="","",IF(AND(Census!C68="E",Census!J68&gt;=18,Census!J68&lt;=65),"Yes","No")),"ERROR")</f>
        <v/>
      </c>
      <c r="Q68" s="52">
        <f>IFERROR(IF(C68="","",IF(AND(Census!C68="E",Census!J68&gt;=18,Census!J68&lt;=64),"Yes","No")),"ERROR")</f>
        <v/>
      </c>
      <c r="R68" s="53">
        <f>IF(OR(AB68&lt;&gt;1,AC68&lt;&gt;1,AD68&lt;&gt;1,AF68&lt;&gt;1,AE68&lt;&gt;1,AG68&lt;&gt;1),-1,1)</f>
        <v/>
      </c>
      <c r="S68" s="54">
        <f>AB68</f>
        <v/>
      </c>
      <c r="T68" s="55">
        <f>AC68</f>
        <v/>
      </c>
      <c r="U68" s="55">
        <f>AD68</f>
        <v/>
      </c>
      <c r="V68" s="55">
        <f>AE68</f>
        <v/>
      </c>
      <c r="W68" s="55">
        <f>AF68</f>
        <v/>
      </c>
      <c r="X68" s="56">
        <f>AG68</f>
        <v/>
      </c>
      <c r="Y68" s="10" t="n"/>
      <c r="Z68" s="64" t="inlineStr">
        <is>
          <t>Burundian</t>
        </is>
      </c>
      <c r="AA68" s="10" t="n"/>
      <c r="AB68">
        <f>IFERROR(IF(OR(B68=0,B68=""),0,1),0)</f>
        <v/>
      </c>
      <c r="AC68">
        <f>IFERROR(IF(OR(C68="S",C68="D"),IF(AND(C68="D",D68="F"),1,IF(AND(C68="S",D68="M"),1,0)),IF(OR(C68="W",C68="H"),IF(OR(AND(C68="W",D68="F"),AND(C68="H",D68="M")),1,),IF(OR(D68="M",D68="F"),1,0))),0)</f>
        <v/>
      </c>
      <c r="AD68">
        <f>IFERROR(IF(OR(C68="E",C68="W",C68="H"),1,IF(C68 = "S",IF(D68="M",1,0),IF(D68 = "F",1,0))),0)</f>
        <v/>
      </c>
      <c r="AE68">
        <f>IFERROR(IF(OR(E68="M",E68="S"),IF(E68="M",IF(OR(C68="S",C68 = "D"),0,1),IF(OR(C68="W",C68="H"),0,1)),0),0)</f>
        <v/>
      </c>
      <c r="AF68">
        <f>IF(G68="",-1,IF(AND(G68&lt;=TODAY(),ISNUMBER(DATE(YEAR(G68),MONTH(G68),DAY(G68)))),IF(AND(OR(C68="S",C68="D"),J68&gt;24),-1,1),-1))</f>
        <v/>
      </c>
      <c r="AG68">
        <f>IF(OR(I68="CAT 1",I68="CAT 2",I68="CAT 3",I68="CAT 4"),1,0)</f>
        <v/>
      </c>
      <c r="AH68">
        <f>PRODUCT(AF68:AG68)*AE68</f>
        <v/>
      </c>
    </row>
    <row r="69" customFormat="1" s="12">
      <c r="A69" s="42" t="n">
        <v>68</v>
      </c>
      <c r="B69" s="43" t="n"/>
      <c r="C69" s="44" t="n"/>
      <c r="D69" s="17" t="n"/>
      <c r="E69" s="45" t="n"/>
      <c r="F69" s="39" t="n"/>
      <c r="G69" s="3" t="n"/>
      <c r="H69" s="44" t="n"/>
      <c r="I69" s="44" t="n"/>
      <c r="J69" s="42">
        <f>IFERROR(IF(G69="","",ROUNDDOWN(IF($G69="","",(inception_date-$G69)/365.25),0)),0)</f>
        <v/>
      </c>
      <c r="K69" s="42">
        <f>IF(I69="","",IF($AM$3=1,IFERROR(IF(J69=FALSE,"",VLOOKUP(J69,$AJ$1:$AK$18,2,1)),""),IFERROR(IF(J69 = "FALSE","",VLOOKUP(J69,#REF!,2,TRUE)),"")))</f>
        <v/>
      </c>
      <c r="L69" s="42" t="n"/>
      <c r="M69" s="42" t="n"/>
      <c r="N69" s="42" t="n"/>
      <c r="O69" s="46">
        <f>IF(C69="","",IF(R69=1,"Yes","No"))</f>
        <v/>
      </c>
      <c r="P69" s="57">
        <f>IFERROR(IF(C69="","",IF(AND(Census!C69="E",Census!J69&gt;=18,Census!J69&lt;=65),"Yes","No")),"ERROR")</f>
        <v/>
      </c>
      <c r="Q69" s="58">
        <f>IFERROR(IF(C69="","",IF(AND(Census!C69="E",Census!J69&gt;=18,Census!J69&lt;=64),"Yes","No")),"ERROR")</f>
        <v/>
      </c>
      <c r="R69" s="59">
        <f>IF(OR(AB69&lt;&gt;1,AC69&lt;&gt;1,AD69&lt;&gt;1,AF69&lt;&gt;1,AE69&lt;&gt;1,AG69&lt;&gt;1),-1,1)</f>
        <v/>
      </c>
      <c r="S69" s="60">
        <f>AB69</f>
        <v/>
      </c>
      <c r="T69" s="61">
        <f>AC69</f>
        <v/>
      </c>
      <c r="U69" s="61">
        <f>AD69</f>
        <v/>
      </c>
      <c r="V69" s="61">
        <f>AE69</f>
        <v/>
      </c>
      <c r="W69" s="61">
        <f>AF69</f>
        <v/>
      </c>
      <c r="X69" s="62">
        <f>AG69</f>
        <v/>
      </c>
      <c r="Y69" s="10" t="n"/>
      <c r="Z69" s="64" t="inlineStr">
        <is>
          <t>Cambodian</t>
        </is>
      </c>
      <c r="AA69" s="10" t="n"/>
      <c r="AB69">
        <f>IFERROR(IF(OR(B69=0,B69=""),0,1),0)</f>
        <v/>
      </c>
      <c r="AC69">
        <f>IFERROR(IF(OR(C69="S",C69="D"),IF(AND(C69="D",D69="F"),1,IF(AND(C69="S",D69="M"),1,0)),IF(OR(C69="W",C69="H"),IF(OR(AND(C69="W",D69="F"),AND(C69="H",D69="M")),1,),IF(OR(D69="M",D69="F"),1,0))),0)</f>
        <v/>
      </c>
      <c r="AD69">
        <f>IFERROR(IF(OR(C69="E",C69="W",C69="H"),1,IF(C69 = "S",IF(D69="M",1,0),IF(D69 = "F",1,0))),0)</f>
        <v/>
      </c>
      <c r="AE69">
        <f>IFERROR(IF(OR(E69="M",E69="S"),IF(E69="M",IF(OR(C69="S",C69 = "D"),0,1),IF(OR(C69="W",C69="H"),0,1)),0),0)</f>
        <v/>
      </c>
      <c r="AF69">
        <f>IF(G69="",-1,IF(AND(G69&lt;=TODAY(),ISNUMBER(DATE(YEAR(G69),MONTH(G69),DAY(G69)))),IF(AND(OR(C69="S",C69="D"),J69&gt;24),-1,1),-1))</f>
        <v/>
      </c>
      <c r="AG69">
        <f>IF(OR(I69="CAT 1",I69="CAT 2",I69="CAT 3",I69="CAT 4"),1,0)</f>
        <v/>
      </c>
      <c r="AH69">
        <f>PRODUCT(AF69:AG69)*AE69</f>
        <v/>
      </c>
    </row>
    <row r="70" customFormat="1" s="12">
      <c r="A70" s="37" t="n">
        <v>69</v>
      </c>
      <c r="B70" s="38" t="n"/>
      <c r="C70" s="39" t="n"/>
      <c r="D70" s="65" t="n"/>
      <c r="E70" s="65" t="n"/>
      <c r="F70" s="39" t="n"/>
      <c r="G70" s="2" t="n"/>
      <c r="H70" s="39" t="n"/>
      <c r="I70" s="39" t="n"/>
      <c r="J70" s="50">
        <f>IFERROR(IF(G70="","",ROUNDDOWN(IF($G70="","",(inception_date-$G70)/365.25),0)),0)</f>
        <v/>
      </c>
      <c r="K70" s="37">
        <f>IF(I70="","",IF($AM$3=1,IFERROR(IF(J70=FALSE,"",VLOOKUP(J70,$AJ$1:$AK$18,2,1)),""),IFERROR(IF(J70 = "FALSE","",VLOOKUP(J70,#REF!,2,TRUE)),"")))</f>
        <v/>
      </c>
      <c r="L70" s="37" t="n"/>
      <c r="M70" s="37" t="n"/>
      <c r="N70" s="37" t="n"/>
      <c r="O70" s="41">
        <f>IF(C70="","",IF(R70=1,"Yes","No"))</f>
        <v/>
      </c>
      <c r="P70" s="51">
        <f>IFERROR(IF(C70="","",IF(AND(Census!C70="E",Census!J70&gt;=18,Census!J70&lt;=65),"Yes","No")),"ERROR")</f>
        <v/>
      </c>
      <c r="Q70" s="52">
        <f>IFERROR(IF(C70="","",IF(AND(Census!C70="E",Census!J70&gt;=18,Census!J70&lt;=64),"Yes","No")),"ERROR")</f>
        <v/>
      </c>
      <c r="R70" s="53">
        <f>IF(OR(AB70&lt;&gt;1,AC70&lt;&gt;1,AD70&lt;&gt;1,AF70&lt;&gt;1,AE70&lt;&gt;1,AG70&lt;&gt;1),-1,1)</f>
        <v/>
      </c>
      <c r="S70" s="54">
        <f>AB70</f>
        <v/>
      </c>
      <c r="T70" s="55">
        <f>AC70</f>
        <v/>
      </c>
      <c r="U70" s="55">
        <f>AD70</f>
        <v/>
      </c>
      <c r="V70" s="55">
        <f>AE70</f>
        <v/>
      </c>
      <c r="W70" s="55">
        <f>AF70</f>
        <v/>
      </c>
      <c r="X70" s="56">
        <f>AG70</f>
        <v/>
      </c>
      <c r="Y70" s="10" t="n"/>
      <c r="Z70" s="64" t="inlineStr">
        <is>
          <t>Cameroonian</t>
        </is>
      </c>
      <c r="AA70" s="10" t="n"/>
      <c r="AB70">
        <f>IFERROR(IF(OR(B70=0,B70=""),0,1),0)</f>
        <v/>
      </c>
      <c r="AC70">
        <f>IFERROR(IF(OR(C70="S",C70="D"),IF(AND(C70="D",D70="F"),1,IF(AND(C70="S",D70="M"),1,0)),IF(OR(C70="W",C70="H"),IF(OR(AND(C70="W",D70="F"),AND(C70="H",D70="M")),1,),IF(OR(D70="M",D70="F"),1,0))),0)</f>
        <v/>
      </c>
      <c r="AD70">
        <f>IFERROR(IF(OR(C70="E",C70="W",C70="H"),1,IF(C70 = "S",IF(D70="M",1,0),IF(D70 = "F",1,0))),0)</f>
        <v/>
      </c>
      <c r="AE70">
        <f>IFERROR(IF(OR(E70="M",E70="S"),IF(E70="M",IF(OR(C70="S",C70 = "D"),0,1),IF(OR(C70="W",C70="H"),0,1)),0),0)</f>
        <v/>
      </c>
      <c r="AF70">
        <f>IF(G70="",-1,IF(AND(G70&lt;=TODAY(),ISNUMBER(DATE(YEAR(G70),MONTH(G70),DAY(G70)))),IF(AND(OR(C70="S",C70="D"),J70&gt;24),-1,1),-1))</f>
        <v/>
      </c>
      <c r="AG70">
        <f>IF(OR(I70="CAT 1",I70="CAT 2",I70="CAT 3",I70="CAT 4"),1,0)</f>
        <v/>
      </c>
      <c r="AH70">
        <f>PRODUCT(AF70:AG70)*AE70</f>
        <v/>
      </c>
    </row>
    <row r="71" customFormat="1" s="12">
      <c r="A71" s="42" t="n">
        <v>70</v>
      </c>
      <c r="B71" s="43" t="n"/>
      <c r="C71" s="44" t="n"/>
      <c r="D71" s="17" t="n"/>
      <c r="E71" s="17" t="n"/>
      <c r="F71" s="39" t="n"/>
      <c r="G71" s="3" t="n"/>
      <c r="H71" s="44" t="n"/>
      <c r="I71" s="44" t="n"/>
      <c r="J71" s="42">
        <f>IFERROR(IF(G71="","",ROUNDDOWN(IF($G71="","",(inception_date-$G71)/365.25),0)),0)</f>
        <v/>
      </c>
      <c r="K71" s="42">
        <f>IF(I71="","",IF($AM$3=1,IFERROR(IF(J71=FALSE,"",VLOOKUP(J71,$AJ$1:$AK$18,2,1)),""),IFERROR(IF(J71 = "FALSE","",VLOOKUP(J71,#REF!,2,TRUE)),"")))</f>
        <v/>
      </c>
      <c r="L71" s="42" t="n"/>
      <c r="M71" s="42" t="n"/>
      <c r="N71" s="42" t="n"/>
      <c r="O71" s="46">
        <f>IF(C71="","",IF(R71=1,"Yes","No"))</f>
        <v/>
      </c>
      <c r="P71" s="57">
        <f>IFERROR(IF(C71="","",IF(AND(Census!C71="E",Census!J71&gt;=18,Census!J71&lt;=65),"Yes","No")),"ERROR")</f>
        <v/>
      </c>
      <c r="Q71" s="58">
        <f>IFERROR(IF(C71="","",IF(AND(Census!C71="E",Census!J71&gt;=18,Census!J71&lt;=64),"Yes","No")),"ERROR")</f>
        <v/>
      </c>
      <c r="R71" s="59">
        <f>IF(OR(AB71&lt;&gt;1,AC71&lt;&gt;1,AD71&lt;&gt;1,AF71&lt;&gt;1,AE71&lt;&gt;1,AG71&lt;&gt;1),-1,1)</f>
        <v/>
      </c>
      <c r="S71" s="60">
        <f>AB71</f>
        <v/>
      </c>
      <c r="T71" s="61">
        <f>AC71</f>
        <v/>
      </c>
      <c r="U71" s="61">
        <f>AD71</f>
        <v/>
      </c>
      <c r="V71" s="61">
        <f>AE71</f>
        <v/>
      </c>
      <c r="W71" s="61">
        <f>AF71</f>
        <v/>
      </c>
      <c r="X71" s="62">
        <f>AG71</f>
        <v/>
      </c>
      <c r="Y71" s="10" t="n"/>
      <c r="Z71" s="64" t="inlineStr">
        <is>
          <t>Canadian</t>
        </is>
      </c>
      <c r="AA71" s="10" t="n"/>
      <c r="AB71">
        <f>IFERROR(IF(OR(B71=0,B71=""),0,1),0)</f>
        <v/>
      </c>
      <c r="AC71">
        <f>IFERROR(IF(OR(C71="S",C71="D"),IF(AND(C71="D",D71="F"),1,IF(AND(C71="S",D71="M"),1,0)),IF(OR(C71="W",C71="H"),IF(OR(AND(C71="W",D71="F"),AND(C71="H",D71="M")),1,),IF(OR(D71="M",D71="F"),1,0))),0)</f>
        <v/>
      </c>
      <c r="AD71">
        <f>IFERROR(IF(OR(C71="E",C71="W",C71="H"),1,IF(C71 = "S",IF(D71="M",1,0),IF(D71 = "F",1,0))),0)</f>
        <v/>
      </c>
      <c r="AE71">
        <f>IFERROR(IF(OR(E71="M",E71="S"),IF(E71="M",IF(OR(C71="S",C71 = "D"),0,1),IF(OR(C71="W",C71="H"),0,1)),0),0)</f>
        <v/>
      </c>
      <c r="AF71">
        <f>IF(G71="",-1,IF(AND(G71&lt;=TODAY(),ISNUMBER(DATE(YEAR(G71),MONTH(G71),DAY(G71)))),IF(AND(OR(C71="S",C71="D"),J71&gt;24),-1,1),-1))</f>
        <v/>
      </c>
      <c r="AG71">
        <f>IF(OR(I71="CAT 1",I71="CAT 2",I71="CAT 3",I71="CAT 4"),1,0)</f>
        <v/>
      </c>
      <c r="AH71">
        <f>PRODUCT(AF71:AG71)*AE71</f>
        <v/>
      </c>
    </row>
    <row r="72" customFormat="1" s="12">
      <c r="A72" s="37" t="n">
        <v>71</v>
      </c>
      <c r="B72" s="38" t="n"/>
      <c r="C72" s="39" t="n"/>
      <c r="D72" s="65" t="n"/>
      <c r="E72" s="40" t="n"/>
      <c r="F72" s="39" t="n"/>
      <c r="G72" s="2" t="n"/>
      <c r="H72" s="39" t="n"/>
      <c r="I72" s="39" t="n"/>
      <c r="J72" s="50">
        <f>IFERROR(IF(G72="","",ROUNDDOWN(IF($G72="","",(inception_date-$G72)/365.25),0)),0)</f>
        <v/>
      </c>
      <c r="K72" s="37">
        <f>IF(I72="","",IF($AM$3=1,IFERROR(IF(J72=FALSE,"",VLOOKUP(J72,$AJ$1:$AK$18,2,1)),""),IFERROR(IF(J72 = "FALSE","",VLOOKUP(J72,#REF!,2,TRUE)),"")))</f>
        <v/>
      </c>
      <c r="L72" s="37" t="n"/>
      <c r="M72" s="37" t="n"/>
      <c r="N72" s="37" t="n"/>
      <c r="O72" s="41">
        <f>IF(C72="","",IF(R72=1,"Yes","No"))</f>
        <v/>
      </c>
      <c r="P72" s="51">
        <f>IFERROR(IF(C72="","",IF(AND(Census!C72="E",Census!J72&gt;=18,Census!J72&lt;=65),"Yes","No")),"ERROR")</f>
        <v/>
      </c>
      <c r="Q72" s="52">
        <f>IFERROR(IF(C72="","",IF(AND(Census!C72="E",Census!J72&gt;=18,Census!J72&lt;=64),"Yes","No")),"ERROR")</f>
        <v/>
      </c>
      <c r="R72" s="53">
        <f>IF(OR(AB72&lt;&gt;1,AC72&lt;&gt;1,AD72&lt;&gt;1,AF72&lt;&gt;1,AE72&lt;&gt;1,AG72&lt;&gt;1),-1,1)</f>
        <v/>
      </c>
      <c r="S72" s="54">
        <f>AB72</f>
        <v/>
      </c>
      <c r="T72" s="55">
        <f>AC72</f>
        <v/>
      </c>
      <c r="U72" s="55">
        <f>AD72</f>
        <v/>
      </c>
      <c r="V72" s="55">
        <f>AE72</f>
        <v/>
      </c>
      <c r="W72" s="55">
        <f>AF72</f>
        <v/>
      </c>
      <c r="X72" s="56">
        <f>AG72</f>
        <v/>
      </c>
      <c r="Y72" s="10" t="n"/>
      <c r="Z72" s="64" t="inlineStr">
        <is>
          <t>Cape Verdean</t>
        </is>
      </c>
      <c r="AA72" s="10" t="n"/>
      <c r="AB72">
        <f>IFERROR(IF(OR(B72=0,B72=""),0,1),0)</f>
        <v/>
      </c>
      <c r="AC72">
        <f>IFERROR(IF(OR(C72="S",C72="D"),IF(AND(C72="D",D72="F"),1,IF(AND(C72="S",D72="M"),1,0)),IF(OR(C72="W",C72="H"),IF(OR(AND(C72="W",D72="F"),AND(C72="H",D72="M")),1,),IF(OR(D72="M",D72="F"),1,0))),0)</f>
        <v/>
      </c>
      <c r="AD72">
        <f>IFERROR(IF(OR(C72="E",C72="W",C72="H"),1,IF(C72 = "S",IF(D72="M",1,0),IF(D72 = "F",1,0))),0)</f>
        <v/>
      </c>
      <c r="AE72">
        <f>IFERROR(IF(OR(E72="M",E72="S"),IF(E72="M",IF(OR(C72="S",C72 = "D"),0,1),IF(OR(C72="W",C72="H"),0,1)),0),0)</f>
        <v/>
      </c>
      <c r="AF72">
        <f>IF(G72="",-1,IF(AND(G72&lt;=TODAY(),ISNUMBER(DATE(YEAR(G72),MONTH(G72),DAY(G72)))),IF(AND(OR(C72="S",C72="D"),J72&gt;24),-1,1),-1))</f>
        <v/>
      </c>
      <c r="AG72">
        <f>IF(OR(I72="CAT 1",I72="CAT 2",I72="CAT 3",I72="CAT 4"),1,0)</f>
        <v/>
      </c>
      <c r="AH72">
        <f>PRODUCT(AF72:AG72)*AE72</f>
        <v/>
      </c>
    </row>
    <row r="73" customFormat="1" s="12">
      <c r="A73" s="42" t="n">
        <v>72</v>
      </c>
      <c r="B73" s="43" t="n"/>
      <c r="C73" s="44" t="n"/>
      <c r="D73" s="17" t="n"/>
      <c r="E73" s="17" t="n"/>
      <c r="F73" s="39" t="n"/>
      <c r="G73" s="3" t="n"/>
      <c r="H73" s="44" t="n"/>
      <c r="I73" s="44" t="n"/>
      <c r="J73" s="42">
        <f>IFERROR(IF(G73="","",ROUNDDOWN(IF($G73="","",(inception_date-$G73)/365.25),0)),0)</f>
        <v/>
      </c>
      <c r="K73" s="42">
        <f>IF(I73="","",IF($AM$3=1,IFERROR(IF(J73=FALSE,"",VLOOKUP(J73,$AJ$1:$AK$18,2,1)),""),IFERROR(IF(J73 = "FALSE","",VLOOKUP(J73,#REF!,2,TRUE)),"")))</f>
        <v/>
      </c>
      <c r="L73" s="42" t="n"/>
      <c r="M73" s="42" t="n"/>
      <c r="N73" s="42" t="n"/>
      <c r="O73" s="46">
        <f>IF(C73="","",IF(R73=1,"Yes","No"))</f>
        <v/>
      </c>
      <c r="P73" s="57">
        <f>IFERROR(IF(C73="","",IF(AND(Census!C73="E",Census!J73&gt;=18,Census!J73&lt;=65),"Yes","No")),"ERROR")</f>
        <v/>
      </c>
      <c r="Q73" s="58">
        <f>IFERROR(IF(C73="","",IF(AND(Census!C73="E",Census!J73&gt;=18,Census!J73&lt;=64),"Yes","No")),"ERROR")</f>
        <v/>
      </c>
      <c r="R73" s="59">
        <f>IF(OR(AB73&lt;&gt;1,AC73&lt;&gt;1,AD73&lt;&gt;1,AF73&lt;&gt;1,AE73&lt;&gt;1,AG73&lt;&gt;1),-1,1)</f>
        <v/>
      </c>
      <c r="S73" s="60">
        <f>AB73</f>
        <v/>
      </c>
      <c r="T73" s="61">
        <f>AC73</f>
        <v/>
      </c>
      <c r="U73" s="61">
        <f>AD73</f>
        <v/>
      </c>
      <c r="V73" s="61">
        <f>AE73</f>
        <v/>
      </c>
      <c r="W73" s="61">
        <f>AF73</f>
        <v/>
      </c>
      <c r="X73" s="62">
        <f>AG73</f>
        <v/>
      </c>
      <c r="Y73" s="10" t="n"/>
      <c r="Z73" s="64" t="inlineStr">
        <is>
          <t>Caymanian</t>
        </is>
      </c>
      <c r="AA73" s="10" t="n"/>
      <c r="AB73">
        <f>IFERROR(IF(OR(B73=0,B73=""),0,1),0)</f>
        <v/>
      </c>
      <c r="AC73">
        <f>IFERROR(IF(OR(C73="S",C73="D"),IF(AND(C73="D",D73="F"),1,IF(AND(C73="S",D73="M"),1,0)),IF(OR(C73="W",C73="H"),IF(OR(AND(C73="W",D73="F"),AND(C73="H",D73="M")),1,),IF(OR(D73="M",D73="F"),1,0))),0)</f>
        <v/>
      </c>
      <c r="AD73">
        <f>IFERROR(IF(OR(C73="E",C73="W",C73="H"),1,IF(C73 = "S",IF(D73="M",1,0),IF(D73 = "F",1,0))),0)</f>
        <v/>
      </c>
      <c r="AE73">
        <f>IFERROR(IF(OR(E73="M",E73="S"),IF(E73="M",IF(OR(C73="S",C73 = "D"),0,1),IF(OR(C73="W",C73="H"),0,1)),0),0)</f>
        <v/>
      </c>
      <c r="AF73">
        <f>IF(G73="",-1,IF(AND(G73&lt;=TODAY(),ISNUMBER(DATE(YEAR(G73),MONTH(G73),DAY(G73)))),IF(AND(OR(C73="S",C73="D"),J73&gt;24),-1,1),-1))</f>
        <v/>
      </c>
      <c r="AG73">
        <f>IF(OR(I73="CAT 1",I73="CAT 2",I73="CAT 3",I73="CAT 4"),1,0)</f>
        <v/>
      </c>
      <c r="AH73">
        <f>PRODUCT(AF73:AG73)*AE73</f>
        <v/>
      </c>
    </row>
    <row r="74" customFormat="1" s="12">
      <c r="A74" s="37" t="n">
        <v>73</v>
      </c>
      <c r="B74" s="38" t="n"/>
      <c r="C74" s="39" t="n"/>
      <c r="D74" s="65" t="n"/>
      <c r="E74" s="65" t="n"/>
      <c r="F74" s="39" t="n"/>
      <c r="G74" s="2" t="n"/>
      <c r="H74" s="39" t="n"/>
      <c r="I74" s="39" t="n"/>
      <c r="J74" s="50">
        <f>IFERROR(IF(G74="","",ROUNDDOWN(IF($G74="","",(inception_date-$G74)/365.25),0)),0)</f>
        <v/>
      </c>
      <c r="K74" s="37">
        <f>IF(I74="","",IF($AM$3=1,IFERROR(IF(J74=FALSE,"",VLOOKUP(J74,$AJ$1:$AK$18,2,1)),""),IFERROR(IF(J74 = "FALSE","",VLOOKUP(J74,#REF!,2,TRUE)),"")))</f>
        <v/>
      </c>
      <c r="L74" s="37" t="n"/>
      <c r="M74" s="37" t="n"/>
      <c r="N74" s="37" t="n"/>
      <c r="O74" s="41">
        <f>IF(C74="","",IF(R74=1,"Yes","No"))</f>
        <v/>
      </c>
      <c r="P74" s="51">
        <f>IFERROR(IF(C74="","",IF(AND(Census!C74="E",Census!J74&gt;=18,Census!J74&lt;=65),"Yes","No")),"ERROR")</f>
        <v/>
      </c>
      <c r="Q74" s="52">
        <f>IFERROR(IF(C74="","",IF(AND(Census!C74="E",Census!J74&gt;=18,Census!J74&lt;=64),"Yes","No")),"ERROR")</f>
        <v/>
      </c>
      <c r="R74" s="53">
        <f>IF(OR(AB74&lt;&gt;1,AC74&lt;&gt;1,AD74&lt;&gt;1,AF74&lt;&gt;1,AE74&lt;&gt;1,AG74&lt;&gt;1),-1,1)</f>
        <v/>
      </c>
      <c r="S74" s="54">
        <f>AB74</f>
        <v/>
      </c>
      <c r="T74" s="55">
        <f>AC74</f>
        <v/>
      </c>
      <c r="U74" s="55">
        <f>AD74</f>
        <v/>
      </c>
      <c r="V74" s="55">
        <f>AE74</f>
        <v/>
      </c>
      <c r="W74" s="55">
        <f>AF74</f>
        <v/>
      </c>
      <c r="X74" s="56">
        <f>AG74</f>
        <v/>
      </c>
      <c r="Y74" s="10" t="n"/>
      <c r="Z74" s="64" t="inlineStr">
        <is>
          <t>Central African</t>
        </is>
      </c>
      <c r="AA74" s="10" t="n"/>
      <c r="AB74">
        <f>IFERROR(IF(OR(B74=0,B74=""),0,1),0)</f>
        <v/>
      </c>
      <c r="AC74">
        <f>IFERROR(IF(OR(C74="S",C74="D"),IF(AND(C74="D",D74="F"),1,IF(AND(C74="S",D74="M"),1,0)),IF(OR(C74="W",C74="H"),IF(OR(AND(C74="W",D74="F"),AND(C74="H",D74="M")),1,),IF(OR(D74="M",D74="F"),1,0))),0)</f>
        <v/>
      </c>
      <c r="AD74">
        <f>IFERROR(IF(OR(C74="E",C74="W",C74="H"),1,IF(C74 = "S",IF(D74="M",1,0),IF(D74 = "F",1,0))),0)</f>
        <v/>
      </c>
      <c r="AE74">
        <f>IFERROR(IF(OR(E74="M",E74="S"),IF(E74="M",IF(OR(C74="S",C74 = "D"),0,1),IF(OR(C74="W",C74="H"),0,1)),0),0)</f>
        <v/>
      </c>
      <c r="AF74">
        <f>IF(G74="",-1,IF(AND(G74&lt;=TODAY(),ISNUMBER(DATE(YEAR(G74),MONTH(G74),DAY(G74)))),IF(AND(OR(C74="S",C74="D"),J74&gt;24),-1,1),-1))</f>
        <v/>
      </c>
      <c r="AG74">
        <f>IF(OR(I74="CAT 1",I74="CAT 2",I74="CAT 3",I74="CAT 4"),1,0)</f>
        <v/>
      </c>
      <c r="AH74">
        <f>PRODUCT(AF74:AG74)*AE74</f>
        <v/>
      </c>
    </row>
    <row r="75" customFormat="1" s="12">
      <c r="A75" s="42" t="n">
        <v>74</v>
      </c>
      <c r="B75" s="43" t="n"/>
      <c r="C75" s="44" t="n"/>
      <c r="D75" s="17" t="n"/>
      <c r="E75" s="17" t="n"/>
      <c r="F75" s="39" t="n"/>
      <c r="G75" s="3" t="n"/>
      <c r="H75" s="44" t="n"/>
      <c r="I75" s="44" t="n"/>
      <c r="J75" s="42">
        <f>IFERROR(IF(G75="","",ROUNDDOWN(IF($G75="","",(inception_date-$G75)/365.25),0)),0)</f>
        <v/>
      </c>
      <c r="K75" s="42">
        <f>IF(I75="","",IF($AM$3=1,IFERROR(IF(J75=FALSE,"",VLOOKUP(J75,$AJ$1:$AK$18,2,1)),""),IFERROR(IF(J75 = "FALSE","",VLOOKUP(J75,#REF!,2,TRUE)),"")))</f>
        <v/>
      </c>
      <c r="L75" s="42" t="n"/>
      <c r="M75" s="42" t="n"/>
      <c r="N75" s="42" t="n"/>
      <c r="O75" s="46">
        <f>IF(C75="","",IF(R75=1,"Yes","No"))</f>
        <v/>
      </c>
      <c r="P75" s="57">
        <f>IFERROR(IF(C75="","",IF(AND(Census!C75="E",Census!J75&gt;=18,Census!J75&lt;=65),"Yes","No")),"ERROR")</f>
        <v/>
      </c>
      <c r="Q75" s="58">
        <f>IFERROR(IF(C75="","",IF(AND(Census!C75="E",Census!J75&gt;=18,Census!J75&lt;=64),"Yes","No")),"ERROR")</f>
        <v/>
      </c>
      <c r="R75" s="59">
        <f>IF(OR(AB75&lt;&gt;1,AC75&lt;&gt;1,AD75&lt;&gt;1,AF75&lt;&gt;1,AE75&lt;&gt;1,AG75&lt;&gt;1),-1,1)</f>
        <v/>
      </c>
      <c r="S75" s="60">
        <f>AB75</f>
        <v/>
      </c>
      <c r="T75" s="61">
        <f>AC75</f>
        <v/>
      </c>
      <c r="U75" s="61">
        <f>AD75</f>
        <v/>
      </c>
      <c r="V75" s="61">
        <f>AE75</f>
        <v/>
      </c>
      <c r="W75" s="61">
        <f>AF75</f>
        <v/>
      </c>
      <c r="X75" s="62">
        <f>AG75</f>
        <v/>
      </c>
      <c r="Y75" s="10" t="n"/>
      <c r="Z75" s="64" t="inlineStr">
        <is>
          <t>Chadian</t>
        </is>
      </c>
      <c r="AA75" s="10" t="n"/>
      <c r="AB75">
        <f>IFERROR(IF(OR(B75=0,B75=""),0,1),0)</f>
        <v/>
      </c>
      <c r="AC75">
        <f>IFERROR(IF(OR(C75="S",C75="D"),IF(AND(C75="D",D75="F"),1,IF(AND(C75="S",D75="M"),1,0)),IF(OR(C75="W",C75="H"),IF(OR(AND(C75="W",D75="F"),AND(C75="H",D75="M")),1,),IF(OR(D75="M",D75="F"),1,0))),0)</f>
        <v/>
      </c>
      <c r="AD75">
        <f>IFERROR(IF(OR(C75="E",C75="W",C75="H"),1,IF(C75 = "S",IF(D75="M",1,0),IF(D75 = "F",1,0))),0)</f>
        <v/>
      </c>
      <c r="AE75">
        <f>IFERROR(IF(OR(E75="M",E75="S"),IF(E75="M",IF(OR(C75="S",C75 = "D"),0,1),IF(OR(C75="W",C75="H"),0,1)),0),0)</f>
        <v/>
      </c>
      <c r="AF75">
        <f>IF(G75="",-1,IF(AND(G75&lt;=TODAY(),ISNUMBER(DATE(YEAR(G75),MONTH(G75),DAY(G75)))),IF(AND(OR(C75="S",C75="D"),J75&gt;24),-1,1),-1))</f>
        <v/>
      </c>
      <c r="AG75">
        <f>IF(OR(I75="CAT 1",I75="CAT 2",I75="CAT 3",I75="CAT 4"),1,0)</f>
        <v/>
      </c>
      <c r="AH75">
        <f>PRODUCT(AF75:AG75)*AE75</f>
        <v/>
      </c>
    </row>
    <row r="76" customFormat="1" s="12">
      <c r="A76" s="37" t="n">
        <v>75</v>
      </c>
      <c r="B76" s="38" t="n"/>
      <c r="C76" s="39" t="n"/>
      <c r="D76" s="65" t="n"/>
      <c r="E76" s="65" t="n"/>
      <c r="F76" s="39" t="n"/>
      <c r="G76" s="2" t="n"/>
      <c r="H76" s="39" t="n"/>
      <c r="I76" s="39" t="n"/>
      <c r="J76" s="50">
        <f>IFERROR(IF(G76="","",ROUNDDOWN(IF($G76="","",(inception_date-$G76)/365.25),0)),0)</f>
        <v/>
      </c>
      <c r="K76" s="37">
        <f>IF(I76="","",IF($AM$3=1,IFERROR(IF(J76=FALSE,"",VLOOKUP(J76,$AJ$1:$AK$18,2,1)),""),IFERROR(IF(J76 = "FALSE","",VLOOKUP(J76,#REF!,2,TRUE)),"")))</f>
        <v/>
      </c>
      <c r="L76" s="37" t="n"/>
      <c r="M76" s="37" t="n"/>
      <c r="N76" s="37" t="n"/>
      <c r="O76" s="41">
        <f>IF(C76="","",IF(R76=1,"Yes","No"))</f>
        <v/>
      </c>
      <c r="P76" s="51">
        <f>IFERROR(IF(C76="","",IF(AND(Census!C76="E",Census!J76&gt;=18,Census!J76&lt;=65),"Yes","No")),"ERROR")</f>
        <v/>
      </c>
      <c r="Q76" s="52">
        <f>IFERROR(IF(C76="","",IF(AND(Census!C76="E",Census!J76&gt;=18,Census!J76&lt;=64),"Yes","No")),"ERROR")</f>
        <v/>
      </c>
      <c r="R76" s="53">
        <f>IF(OR(AB76&lt;&gt;1,AC76&lt;&gt;1,AD76&lt;&gt;1,AF76&lt;&gt;1,AE76&lt;&gt;1,AG76&lt;&gt;1),-1,1)</f>
        <v/>
      </c>
      <c r="S76" s="54">
        <f>AB76</f>
        <v/>
      </c>
      <c r="T76" s="55">
        <f>AC76</f>
        <v/>
      </c>
      <c r="U76" s="55">
        <f>AD76</f>
        <v/>
      </c>
      <c r="V76" s="55">
        <f>AE76</f>
        <v/>
      </c>
      <c r="W76" s="55">
        <f>AF76</f>
        <v/>
      </c>
      <c r="X76" s="56">
        <f>AG76</f>
        <v/>
      </c>
      <c r="Y76" s="10" t="n"/>
      <c r="Z76" s="64" t="inlineStr">
        <is>
          <t>Chilean</t>
        </is>
      </c>
      <c r="AA76" s="10" t="n"/>
      <c r="AB76">
        <f>IFERROR(IF(OR(B76=0,B76=""),0,1),0)</f>
        <v/>
      </c>
      <c r="AC76">
        <f>IFERROR(IF(OR(C76="S",C76="D"),IF(AND(C76="D",D76="F"),1,IF(AND(C76="S",D76="M"),1,0)),IF(OR(C76="W",C76="H"),IF(OR(AND(C76="W",D76="F"),AND(C76="H",D76="M")),1,),IF(OR(D76="M",D76="F"),1,0))),0)</f>
        <v/>
      </c>
      <c r="AD76">
        <f>IFERROR(IF(OR(C76="E",C76="W",C76="H"),1,IF(C76 = "S",IF(D76="M",1,0),IF(D76 = "F",1,0))),0)</f>
        <v/>
      </c>
      <c r="AE76">
        <f>IFERROR(IF(OR(E76="M",E76="S"),IF(E76="M",IF(OR(C76="S",C76 = "D"),0,1),IF(OR(C76="W",C76="H"),0,1)),0),0)</f>
        <v/>
      </c>
      <c r="AF76">
        <f>IF(G76="",-1,IF(AND(G76&lt;=TODAY(),ISNUMBER(DATE(YEAR(G76),MONTH(G76),DAY(G76)))),IF(AND(OR(C76="S",C76="D"),J76&gt;24),-1,1),-1))</f>
        <v/>
      </c>
      <c r="AG76">
        <f>IF(OR(I76="CAT 1",I76="CAT 2",I76="CAT 3",I76="CAT 4"),1,0)</f>
        <v/>
      </c>
      <c r="AH76">
        <f>PRODUCT(AF76:AG76)*AE76</f>
        <v/>
      </c>
    </row>
    <row r="77" customFormat="1" s="12">
      <c r="A77" s="42" t="n">
        <v>76</v>
      </c>
      <c r="B77" s="43" t="n"/>
      <c r="C77" s="44" t="n"/>
      <c r="D77" s="17" t="n"/>
      <c r="E77" s="17" t="n"/>
      <c r="F77" s="39" t="n"/>
      <c r="G77" s="3" t="n"/>
      <c r="H77" s="44" t="n"/>
      <c r="I77" s="44" t="n"/>
      <c r="J77" s="42">
        <f>IFERROR(IF(G77="","",ROUNDDOWN(IF($G77="","",(inception_date-$G77)/365.25),0)),0)</f>
        <v/>
      </c>
      <c r="K77" s="42">
        <f>IF(I77="","",IF($AM$3=1,IFERROR(IF(J77=FALSE,"",VLOOKUP(J77,$AJ$1:$AK$18,2,1)),""),IFERROR(IF(J77 = "FALSE","",VLOOKUP(J77,#REF!,2,TRUE)),"")))</f>
        <v/>
      </c>
      <c r="L77" s="42" t="n"/>
      <c r="M77" s="42" t="n"/>
      <c r="N77" s="42" t="n"/>
      <c r="O77" s="46">
        <f>IF(C77="","",IF(R77=1,"Yes","No"))</f>
        <v/>
      </c>
      <c r="P77" s="57">
        <f>IFERROR(IF(C77="","",IF(AND(Census!C77="E",Census!J77&gt;=18,Census!J77&lt;=65),"Yes","No")),"ERROR")</f>
        <v/>
      </c>
      <c r="Q77" s="58">
        <f>IFERROR(IF(C77="","",IF(AND(Census!C77="E",Census!J77&gt;=18,Census!J77&lt;=64),"Yes","No")),"ERROR")</f>
        <v/>
      </c>
      <c r="R77" s="59">
        <f>IF(OR(AB77&lt;&gt;1,AC77&lt;&gt;1,AD77&lt;&gt;1,AF77&lt;&gt;1,AE77&lt;&gt;1,AG77&lt;&gt;1),-1,1)</f>
        <v/>
      </c>
      <c r="S77" s="60">
        <f>AB77</f>
        <v/>
      </c>
      <c r="T77" s="61">
        <f>AC77</f>
        <v/>
      </c>
      <c r="U77" s="61">
        <f>AD77</f>
        <v/>
      </c>
      <c r="V77" s="61">
        <f>AE77</f>
        <v/>
      </c>
      <c r="W77" s="61">
        <f>AF77</f>
        <v/>
      </c>
      <c r="X77" s="62">
        <f>AG77</f>
        <v/>
      </c>
      <c r="Y77" s="10" t="n"/>
      <c r="Z77" s="64" t="inlineStr">
        <is>
          <t>Chinese</t>
        </is>
      </c>
      <c r="AA77" s="10" t="n"/>
      <c r="AB77">
        <f>IFERROR(IF(OR(B77=0,B77=""),0,1),0)</f>
        <v/>
      </c>
      <c r="AC77">
        <f>IFERROR(IF(OR(C77="S",C77="D"),IF(AND(C77="D",D77="F"),1,IF(AND(C77="S",D77="M"),1,0)),IF(OR(C77="W",C77="H"),IF(OR(AND(C77="W",D77="F"),AND(C77="H",D77="M")),1,),IF(OR(D77="M",D77="F"),1,0))),0)</f>
        <v/>
      </c>
      <c r="AD77">
        <f>IFERROR(IF(OR(C77="E",C77="W",C77="H"),1,IF(C77 = "S",IF(D77="M",1,0),IF(D77 = "F",1,0))),0)</f>
        <v/>
      </c>
      <c r="AE77">
        <f>IFERROR(IF(OR(E77="M",E77="S"),IF(E77="M",IF(OR(C77="S",C77 = "D"),0,1),IF(OR(C77="W",C77="H"),0,1)),0),0)</f>
        <v/>
      </c>
      <c r="AF77">
        <f>IF(G77="",-1,IF(AND(G77&lt;=TODAY(),ISNUMBER(DATE(YEAR(G77),MONTH(G77),DAY(G77)))),IF(AND(OR(C77="S",C77="D"),J77&gt;24),-1,1),-1))</f>
        <v/>
      </c>
      <c r="AG77">
        <f>IF(OR(I77="CAT 1",I77="CAT 2",I77="CAT 3",I77="CAT 4"),1,0)</f>
        <v/>
      </c>
      <c r="AH77">
        <f>PRODUCT(AF77:AG77)*AE77</f>
        <v/>
      </c>
    </row>
    <row r="78" customFormat="1" s="12">
      <c r="A78" s="37" t="n">
        <v>77</v>
      </c>
      <c r="B78" s="38" t="n"/>
      <c r="C78" s="39" t="n"/>
      <c r="D78" s="65" t="n"/>
      <c r="E78" s="65" t="n"/>
      <c r="F78" s="39" t="n"/>
      <c r="G78" s="2" t="n"/>
      <c r="H78" s="39" t="n"/>
      <c r="I78" s="39" t="n"/>
      <c r="J78" s="50">
        <f>IFERROR(IF(G78="","",ROUNDDOWN(IF($G78="","",(inception_date-$G78)/365.25),0)),0)</f>
        <v/>
      </c>
      <c r="K78" s="37">
        <f>IF(I78="","",IF($AM$3=1,IFERROR(IF(J78=FALSE,"",VLOOKUP(J78,$AJ$1:$AK$18,2,1)),""),IFERROR(IF(J78 = "FALSE","",VLOOKUP(J78,#REF!,2,TRUE)),"")))</f>
        <v/>
      </c>
      <c r="L78" s="37" t="n"/>
      <c r="M78" s="37" t="n"/>
      <c r="N78" s="37" t="n"/>
      <c r="O78" s="41">
        <f>IF(C78="","",IF(R78=1,"Yes","No"))</f>
        <v/>
      </c>
      <c r="P78" s="51">
        <f>IFERROR(IF(C78="","",IF(AND(Census!C78="E",Census!J78&gt;=18,Census!J78&lt;=65),"Yes","No")),"ERROR")</f>
        <v/>
      </c>
      <c r="Q78" s="52">
        <f>IFERROR(IF(C78="","",IF(AND(Census!C78="E",Census!J78&gt;=18,Census!J78&lt;=64),"Yes","No")),"ERROR")</f>
        <v/>
      </c>
      <c r="R78" s="53">
        <f>IF(OR(AB78&lt;&gt;1,AC78&lt;&gt;1,AD78&lt;&gt;1,AF78&lt;&gt;1,AE78&lt;&gt;1,AG78&lt;&gt;1),-1,1)</f>
        <v/>
      </c>
      <c r="S78" s="54">
        <f>AB78</f>
        <v/>
      </c>
      <c r="T78" s="55">
        <f>AC78</f>
        <v/>
      </c>
      <c r="U78" s="55">
        <f>AD78</f>
        <v/>
      </c>
      <c r="V78" s="55">
        <f>AE78</f>
        <v/>
      </c>
      <c r="W78" s="55">
        <f>AF78</f>
        <v/>
      </c>
      <c r="X78" s="56">
        <f>AG78</f>
        <v/>
      </c>
      <c r="Y78" s="10" t="n"/>
      <c r="Z78" s="64" t="inlineStr">
        <is>
          <t>Christmas Islanders</t>
        </is>
      </c>
      <c r="AA78" s="10" t="n"/>
      <c r="AB78">
        <f>IFERROR(IF(OR(B78=0,B78=""),0,1),0)</f>
        <v/>
      </c>
      <c r="AC78">
        <f>IFERROR(IF(OR(C78="S",C78="D"),IF(AND(C78="D",D78="F"),1,IF(AND(C78="S",D78="M"),1,0)),IF(OR(C78="W",C78="H"),IF(OR(AND(C78="W",D78="F"),AND(C78="H",D78="M")),1,),IF(OR(D78="M",D78="F"),1,0))),0)</f>
        <v/>
      </c>
      <c r="AD78">
        <f>IFERROR(IF(OR(C78="E",C78="W",C78="H"),1,IF(C78 = "S",IF(D78="M",1,0),IF(D78 = "F",1,0))),0)</f>
        <v/>
      </c>
      <c r="AE78">
        <f>IFERROR(IF(OR(E78="M",E78="S"),IF(E78="M",IF(OR(C78="S",C78 = "D"),0,1),IF(OR(C78="W",C78="H"),0,1)),0),0)</f>
        <v/>
      </c>
      <c r="AF78">
        <f>IF(G78="",-1,IF(AND(G78&lt;=TODAY(),ISNUMBER(DATE(YEAR(G78),MONTH(G78),DAY(G78)))),IF(AND(OR(C78="S",C78="D"),J78&gt;24),-1,1),-1))</f>
        <v/>
      </c>
      <c r="AG78">
        <f>IF(OR(I78="CAT 1",I78="CAT 2",I78="CAT 3",I78="CAT 4"),1,0)</f>
        <v/>
      </c>
      <c r="AH78">
        <f>PRODUCT(AF78:AG78)*AE78</f>
        <v/>
      </c>
    </row>
    <row r="79" customFormat="1" s="12">
      <c r="A79" s="42" t="n">
        <v>78</v>
      </c>
      <c r="B79" s="43" t="n"/>
      <c r="C79" s="44" t="n"/>
      <c r="D79" s="17" t="n"/>
      <c r="E79" s="17" t="n"/>
      <c r="F79" s="39" t="n"/>
      <c r="G79" s="3" t="n"/>
      <c r="H79" s="44" t="n"/>
      <c r="I79" s="44" t="n"/>
      <c r="J79" s="42">
        <f>IFERROR(IF(G79="","",ROUNDDOWN(IF($G79="","",(inception_date-$G79)/365.25),0)),0)</f>
        <v/>
      </c>
      <c r="K79" s="42">
        <f>IF(I79="","",IF($AM$3=1,IFERROR(IF(J79=FALSE,"",VLOOKUP(J79,$AJ$1:$AK$18,2,1)),""),IFERROR(IF(J79 = "FALSE","",VLOOKUP(J79,#REF!,2,TRUE)),"")))</f>
        <v/>
      </c>
      <c r="L79" s="42" t="n"/>
      <c r="M79" s="42" t="n"/>
      <c r="N79" s="42" t="n"/>
      <c r="O79" s="46">
        <f>IF(C79="","",IF(R79=1,"Yes","No"))</f>
        <v/>
      </c>
      <c r="P79" s="57">
        <f>IFERROR(IF(C79="","",IF(AND(Census!C79="E",Census!J79&gt;=18,Census!J79&lt;=65),"Yes","No")),"ERROR")</f>
        <v/>
      </c>
      <c r="Q79" s="58">
        <f>IFERROR(IF(C79="","",IF(AND(Census!C79="E",Census!J79&gt;=18,Census!J79&lt;=64),"Yes","No")),"ERROR")</f>
        <v/>
      </c>
      <c r="R79" s="59">
        <f>IF(OR(AB79&lt;&gt;1,AC79&lt;&gt;1,AD79&lt;&gt;1,AF79&lt;&gt;1,AE79&lt;&gt;1,AG79&lt;&gt;1),-1,1)</f>
        <v/>
      </c>
      <c r="S79" s="60">
        <f>AB79</f>
        <v/>
      </c>
      <c r="T79" s="61">
        <f>AC79</f>
        <v/>
      </c>
      <c r="U79" s="61">
        <f>AD79</f>
        <v/>
      </c>
      <c r="V79" s="61">
        <f>AE79</f>
        <v/>
      </c>
      <c r="W79" s="61">
        <f>AF79</f>
        <v/>
      </c>
      <c r="X79" s="62">
        <f>AG79</f>
        <v/>
      </c>
      <c r="Y79" s="10" t="n"/>
      <c r="Z79" s="64" t="inlineStr">
        <is>
          <t>Cis Countries</t>
        </is>
      </c>
      <c r="AA79" s="10" t="n"/>
      <c r="AB79">
        <f>IFERROR(IF(OR(B79=0,B79=""),0,1),0)</f>
        <v/>
      </c>
      <c r="AC79">
        <f>IFERROR(IF(OR(C79="S",C79="D"),IF(AND(C79="D",D79="F"),1,IF(AND(C79="S",D79="M"),1,0)),IF(OR(C79="W",C79="H"),IF(OR(AND(C79="W",D79="F"),AND(C79="H",D79="M")),1,),IF(OR(D79="M",D79="F"),1,0))),0)</f>
        <v/>
      </c>
      <c r="AD79">
        <f>IFERROR(IF(OR(C79="E",C79="W",C79="H"),1,IF(C79 = "S",IF(D79="M",1,0),IF(D79 = "F",1,0))),0)</f>
        <v/>
      </c>
      <c r="AE79">
        <f>IFERROR(IF(OR(E79="M",E79="S"),IF(E79="M",IF(OR(C79="S",C79 = "D"),0,1),IF(OR(C79="W",C79="H"),0,1)),0),0)</f>
        <v/>
      </c>
      <c r="AF79">
        <f>IF(G79="",-1,IF(AND(G79&lt;=TODAY(),ISNUMBER(DATE(YEAR(G79),MONTH(G79),DAY(G79)))),IF(AND(OR(C79="S",C79="D"),J79&gt;24),-1,1),-1))</f>
        <v/>
      </c>
      <c r="AG79">
        <f>IF(OR(I79="CAT 1",I79="CAT 2",I79="CAT 3",I79="CAT 4"),1,0)</f>
        <v/>
      </c>
      <c r="AH79">
        <f>PRODUCT(AF79:AG79)*AE79</f>
        <v/>
      </c>
    </row>
    <row r="80" customFormat="1" s="12">
      <c r="A80" s="37" t="n">
        <v>79</v>
      </c>
      <c r="B80" s="38" t="n"/>
      <c r="C80" s="39" t="n"/>
      <c r="D80" s="65" t="n"/>
      <c r="E80" s="65" t="n"/>
      <c r="F80" s="39" t="n"/>
      <c r="G80" s="2" t="n"/>
      <c r="H80" s="39" t="n"/>
      <c r="I80" s="39" t="n"/>
      <c r="J80" s="50">
        <f>IFERROR(IF(G80="","",ROUNDDOWN(IF($G80="","",(inception_date-$G80)/365.25),0)),0)</f>
        <v/>
      </c>
      <c r="K80" s="37">
        <f>IF(I80="","",IF($AM$3=1,IFERROR(IF(J80=FALSE,"",VLOOKUP(J80,$AJ$1:$AK$18,2,1)),""),IFERROR(IF(J80 = "FALSE","",VLOOKUP(J80,#REF!,2,TRUE)),"")))</f>
        <v/>
      </c>
      <c r="L80" s="37" t="n"/>
      <c r="M80" s="37" t="n"/>
      <c r="N80" s="37" t="n"/>
      <c r="O80" s="41">
        <f>IF(C80="","",IF(R80=1,"Yes","No"))</f>
        <v/>
      </c>
      <c r="P80" s="51">
        <f>IFERROR(IF(C80="","",IF(AND(Census!C80="E",Census!J80&gt;=18,Census!J80&lt;=65),"Yes","No")),"ERROR")</f>
        <v/>
      </c>
      <c r="Q80" s="52">
        <f>IFERROR(IF(C80="","",IF(AND(Census!C80="E",Census!J80&gt;=18,Census!J80&lt;=64),"Yes","No")),"ERROR")</f>
        <v/>
      </c>
      <c r="R80" s="53">
        <f>IF(OR(AB80&lt;&gt;1,AC80&lt;&gt;1,AD80&lt;&gt;1,AF80&lt;&gt;1,AE80&lt;&gt;1,AG80&lt;&gt;1),-1,1)</f>
        <v/>
      </c>
      <c r="S80" s="54">
        <f>AB80</f>
        <v/>
      </c>
      <c r="T80" s="55">
        <f>AC80</f>
        <v/>
      </c>
      <c r="U80" s="55">
        <f>AD80</f>
        <v/>
      </c>
      <c r="V80" s="55">
        <f>AE80</f>
        <v/>
      </c>
      <c r="W80" s="55">
        <f>AF80</f>
        <v/>
      </c>
      <c r="X80" s="56">
        <f>AG80</f>
        <v/>
      </c>
      <c r="Y80" s="10" t="n"/>
      <c r="Z80" s="64" t="inlineStr">
        <is>
          <t>Cocossian</t>
        </is>
      </c>
      <c r="AA80" s="10" t="n"/>
      <c r="AB80">
        <f>IFERROR(IF(OR(B80=0,B80=""),0,1),0)</f>
        <v/>
      </c>
      <c r="AC80">
        <f>IFERROR(IF(OR(C80="S",C80="D"),IF(AND(C80="D",D80="F"),1,IF(AND(C80="S",D80="M"),1,0)),IF(OR(C80="W",C80="H"),IF(OR(AND(C80="W",D80="F"),AND(C80="H",D80="M")),1,),IF(OR(D80="M",D80="F"),1,0))),0)</f>
        <v/>
      </c>
      <c r="AD80">
        <f>IFERROR(IF(OR(C80="E",C80="W",C80="H"),1,IF(C80 = "S",IF(D80="M",1,0),IF(D80 = "F",1,0))),0)</f>
        <v/>
      </c>
      <c r="AE80">
        <f>IFERROR(IF(OR(E80="M",E80="S"),IF(E80="M",IF(OR(C80="S",C80 = "D"),0,1),IF(OR(C80="W",C80="H"),0,1)),0),0)</f>
        <v/>
      </c>
      <c r="AF80">
        <f>IF(G80="",-1,IF(AND(G80&lt;=TODAY(),ISNUMBER(DATE(YEAR(G80),MONTH(G80),DAY(G80)))),IF(AND(OR(C80="S",C80="D"),J80&gt;24),-1,1),-1))</f>
        <v/>
      </c>
      <c r="AG80">
        <f>IF(OR(I80="CAT 1",I80="CAT 2",I80="CAT 3",I80="CAT 4"),1,0)</f>
        <v/>
      </c>
      <c r="AH80">
        <f>PRODUCT(AF80:AG80)*AE80</f>
        <v/>
      </c>
    </row>
    <row r="81" customFormat="1" s="12">
      <c r="A81" s="42" t="n">
        <v>80</v>
      </c>
      <c r="B81" s="43" t="n"/>
      <c r="C81" s="44" t="n"/>
      <c r="D81" s="17" t="n"/>
      <c r="E81" s="17" t="n"/>
      <c r="F81" s="39" t="n"/>
      <c r="G81" s="3" t="n"/>
      <c r="H81" s="44" t="n"/>
      <c r="I81" s="44" t="n"/>
      <c r="J81" s="42">
        <f>IFERROR(IF(G81="","",ROUNDDOWN(IF($G81="","",(inception_date-$G81)/365.25),0)),0)</f>
        <v/>
      </c>
      <c r="K81" s="42">
        <f>IF(I81="","",IF($AM$3=1,IFERROR(IF(J81=FALSE,"",VLOOKUP(J81,$AJ$1:$AK$18,2,1)),""),IFERROR(IF(J81 = "FALSE","",VLOOKUP(J81,#REF!,2,TRUE)),"")))</f>
        <v/>
      </c>
      <c r="L81" s="42" t="n"/>
      <c r="M81" s="42" t="n"/>
      <c r="N81" s="42" t="n"/>
      <c r="O81" s="46">
        <f>IF(C81="","",IF(R81=1,"Yes","No"))</f>
        <v/>
      </c>
      <c r="P81" s="57">
        <f>IFERROR(IF(C81="","",IF(AND(Census!C81="E",Census!J81&gt;=18,Census!J81&lt;=65),"Yes","No")),"ERROR")</f>
        <v/>
      </c>
      <c r="Q81" s="58">
        <f>IFERROR(IF(C81="","",IF(AND(Census!C81="E",Census!J81&gt;=18,Census!J81&lt;=64),"Yes","No")),"ERROR")</f>
        <v/>
      </c>
      <c r="R81" s="59">
        <f>IF(OR(AB81&lt;&gt;1,AC81&lt;&gt;1,AD81&lt;&gt;1,AF81&lt;&gt;1,AE81&lt;&gt;1,AG81&lt;&gt;1),-1,1)</f>
        <v/>
      </c>
      <c r="S81" s="60">
        <f>AB81</f>
        <v/>
      </c>
      <c r="T81" s="61">
        <f>AC81</f>
        <v/>
      </c>
      <c r="U81" s="61">
        <f>AD81</f>
        <v/>
      </c>
      <c r="V81" s="61">
        <f>AE81</f>
        <v/>
      </c>
      <c r="W81" s="61">
        <f>AF81</f>
        <v/>
      </c>
      <c r="X81" s="62">
        <f>AG81</f>
        <v/>
      </c>
      <c r="Y81" s="10" t="n"/>
      <c r="Z81" s="64" t="inlineStr">
        <is>
          <t>Colombian</t>
        </is>
      </c>
      <c r="AA81" s="10" t="n"/>
      <c r="AB81">
        <f>IFERROR(IF(OR(B81=0,B81=""),0,1),0)</f>
        <v/>
      </c>
      <c r="AC81">
        <f>IFERROR(IF(OR(C81="S",C81="D"),IF(AND(C81="D",D81="F"),1,IF(AND(C81="S",D81="M"),1,0)),IF(OR(C81="W",C81="H"),IF(OR(AND(C81="W",D81="F"),AND(C81="H",D81="M")),1,),IF(OR(D81="M",D81="F"),1,0))),0)</f>
        <v/>
      </c>
      <c r="AD81">
        <f>IFERROR(IF(OR(C81="E",C81="W",C81="H"),1,IF(C81 = "S",IF(D81="M",1,0),IF(D81 = "F",1,0))),0)</f>
        <v/>
      </c>
      <c r="AE81">
        <f>IFERROR(IF(OR(E81="M",E81="S"),IF(E81="M",IF(OR(C81="S",C81 = "D"),0,1),IF(OR(C81="W",C81="H"),0,1)),0),0)</f>
        <v/>
      </c>
      <c r="AF81">
        <f>IF(G81="",-1,IF(AND(G81&lt;=TODAY(),ISNUMBER(DATE(YEAR(G81),MONTH(G81),DAY(G81)))),IF(AND(OR(C81="S",C81="D"),J81&gt;24),-1,1),-1))</f>
        <v/>
      </c>
      <c r="AG81">
        <f>IF(OR(I81="CAT 1",I81="CAT 2",I81="CAT 3",I81="CAT 4"),1,0)</f>
        <v/>
      </c>
      <c r="AH81">
        <f>PRODUCT(AF81:AG81)*AE81</f>
        <v/>
      </c>
    </row>
    <row r="82" customFormat="1" s="12">
      <c r="A82" s="37" t="n">
        <v>81</v>
      </c>
      <c r="B82" s="38" t="n"/>
      <c r="C82" s="39" t="n"/>
      <c r="D82" s="65" t="n"/>
      <c r="E82" s="40" t="n"/>
      <c r="F82" s="39" t="n"/>
      <c r="G82" s="2" t="n"/>
      <c r="H82" s="39" t="n"/>
      <c r="I82" s="39" t="n"/>
      <c r="J82" s="50">
        <f>IFERROR(IF(G82="","",ROUNDDOWN(IF($G82="","",(inception_date-$G82)/365.25),0)),0)</f>
        <v/>
      </c>
      <c r="K82" s="37">
        <f>IF(I82="","",IF($AM$3=1,IFERROR(IF(J82=FALSE,"",VLOOKUP(J82,$AJ$1:$AK$18,2,1)),""),IFERROR(IF(J82 = "FALSE","",VLOOKUP(J82,#REF!,2,TRUE)),"")))</f>
        <v/>
      </c>
      <c r="L82" s="37" t="n"/>
      <c r="M82" s="37" t="n"/>
      <c r="N82" s="37" t="n"/>
      <c r="O82" s="41">
        <f>IF(C82="","",IF(R82=1,"Yes","No"))</f>
        <v/>
      </c>
      <c r="P82" s="51">
        <f>IFERROR(IF(C82="","",IF(AND(Census!C82="E",Census!J82&gt;=18,Census!J82&lt;=65),"Yes","No")),"ERROR")</f>
        <v/>
      </c>
      <c r="Q82" s="52">
        <f>IFERROR(IF(C82="","",IF(AND(Census!C82="E",Census!J82&gt;=18,Census!J82&lt;=64),"Yes","No")),"ERROR")</f>
        <v/>
      </c>
      <c r="R82" s="53">
        <f>IF(OR(AB82&lt;&gt;1,AC82&lt;&gt;1,AD82&lt;&gt;1,AF82&lt;&gt;1,AE82&lt;&gt;1,AG82&lt;&gt;1),-1,1)</f>
        <v/>
      </c>
      <c r="S82" s="54">
        <f>AB82</f>
        <v/>
      </c>
      <c r="T82" s="55">
        <f>AC82</f>
        <v/>
      </c>
      <c r="U82" s="55">
        <f>AD82</f>
        <v/>
      </c>
      <c r="V82" s="55">
        <f>AE82</f>
        <v/>
      </c>
      <c r="W82" s="55">
        <f>AF82</f>
        <v/>
      </c>
      <c r="X82" s="56">
        <f>AG82</f>
        <v/>
      </c>
      <c r="Y82" s="10" t="n"/>
      <c r="Z82" s="64" t="inlineStr">
        <is>
          <t>Comoran</t>
        </is>
      </c>
      <c r="AA82" s="10" t="n"/>
      <c r="AB82">
        <f>IFERROR(IF(OR(B82=0,B82=""),0,1),0)</f>
        <v/>
      </c>
      <c r="AC82">
        <f>IFERROR(IF(OR(C82="S",C82="D"),IF(AND(C82="D",D82="F"),1,IF(AND(C82="S",D82="M"),1,0)),IF(OR(C82="W",C82="H"),IF(OR(AND(C82="W",D82="F"),AND(C82="H",D82="M")),1,),IF(OR(D82="M",D82="F"),1,0))),0)</f>
        <v/>
      </c>
      <c r="AD82">
        <f>IFERROR(IF(OR(C82="E",C82="W",C82="H"),1,IF(C82 = "S",IF(D82="M",1,0),IF(D82 = "F",1,0))),0)</f>
        <v/>
      </c>
      <c r="AE82">
        <f>IFERROR(IF(OR(E82="M",E82="S"),IF(E82="M",IF(OR(C82="S",C82 = "D"),0,1),IF(OR(C82="W",C82="H"),0,1)),0),0)</f>
        <v/>
      </c>
      <c r="AF82">
        <f>IF(G82="",-1,IF(AND(G82&lt;=TODAY(),ISNUMBER(DATE(YEAR(G82),MONTH(G82),DAY(G82)))),IF(AND(OR(C82="S",C82="D"),J82&gt;24),-1,1),-1))</f>
        <v/>
      </c>
      <c r="AG82">
        <f>IF(OR(I82="CAT 1",I82="CAT 2",I82="CAT 3",I82="CAT 4"),1,0)</f>
        <v/>
      </c>
      <c r="AH82">
        <f>PRODUCT(AF82:AG82)*AE82</f>
        <v/>
      </c>
    </row>
    <row r="83" customFormat="1" s="12">
      <c r="A83" s="42" t="n">
        <v>82</v>
      </c>
      <c r="B83" s="43" t="n"/>
      <c r="C83" s="44" t="n"/>
      <c r="D83" s="17" t="n"/>
      <c r="E83" s="17" t="n"/>
      <c r="F83" s="39" t="n"/>
      <c r="G83" s="3" t="n"/>
      <c r="H83" s="44" t="n"/>
      <c r="I83" s="44" t="n"/>
      <c r="J83" s="42">
        <f>IFERROR(IF(G83="","",ROUNDDOWN(IF($G83="","",(inception_date-$G83)/365.25),0)),0)</f>
        <v/>
      </c>
      <c r="K83" s="42">
        <f>IF(I83="","",IF($AM$3=1,IFERROR(IF(J83=FALSE,"",VLOOKUP(J83,$AJ$1:$AK$18,2,1)),""),IFERROR(IF(J83 = "FALSE","",VLOOKUP(J83,#REF!,2,TRUE)),"")))</f>
        <v/>
      </c>
      <c r="L83" s="42" t="n"/>
      <c r="M83" s="42" t="n"/>
      <c r="N83" s="42" t="n"/>
      <c r="O83" s="46">
        <f>IF(C83="","",IF(R83=1,"Yes","No"))</f>
        <v/>
      </c>
      <c r="P83" s="57">
        <f>IFERROR(IF(C83="","",IF(AND(Census!C83="E",Census!J83&gt;=18,Census!J83&lt;=65),"Yes","No")),"ERROR")</f>
        <v/>
      </c>
      <c r="Q83" s="58">
        <f>IFERROR(IF(C83="","",IF(AND(Census!C83="E",Census!J83&gt;=18,Census!J83&lt;=64),"Yes","No")),"ERROR")</f>
        <v/>
      </c>
      <c r="R83" s="59">
        <f>IF(OR(AB83&lt;&gt;1,AC83&lt;&gt;1,AD83&lt;&gt;1,AF83&lt;&gt;1,AE83&lt;&gt;1,AG83&lt;&gt;1),-1,1)</f>
        <v/>
      </c>
      <c r="S83" s="60">
        <f>AB83</f>
        <v/>
      </c>
      <c r="T83" s="61">
        <f>AC83</f>
        <v/>
      </c>
      <c r="U83" s="61">
        <f>AD83</f>
        <v/>
      </c>
      <c r="V83" s="61">
        <f>AE83</f>
        <v/>
      </c>
      <c r="W83" s="61">
        <f>AF83</f>
        <v/>
      </c>
      <c r="X83" s="62">
        <f>AG83</f>
        <v/>
      </c>
      <c r="Y83" s="10" t="n"/>
      <c r="Z83" s="64" t="inlineStr">
        <is>
          <t>Congolese</t>
        </is>
      </c>
      <c r="AA83" s="10" t="n"/>
      <c r="AB83">
        <f>IFERROR(IF(OR(B83=0,B83=""),0,1),0)</f>
        <v/>
      </c>
      <c r="AC83">
        <f>IFERROR(IF(OR(C83="S",C83="D"),IF(AND(C83="D",D83="F"),1,IF(AND(C83="S",D83="M"),1,0)),IF(OR(C83="W",C83="H"),IF(OR(AND(C83="W",D83="F"),AND(C83="H",D83="M")),1,),IF(OR(D83="M",D83="F"),1,0))),0)</f>
        <v/>
      </c>
      <c r="AD83">
        <f>IFERROR(IF(OR(C83="E",C83="W",C83="H"),1,IF(C83 = "S",IF(D83="M",1,0),IF(D83 = "F",1,0))),0)</f>
        <v/>
      </c>
      <c r="AE83">
        <f>IFERROR(IF(OR(E83="M",E83="S"),IF(E83="M",IF(OR(C83="S",C83 = "D"),0,1),IF(OR(C83="W",C83="H"),0,1)),0),0)</f>
        <v/>
      </c>
      <c r="AF83">
        <f>IF(G83="",-1,IF(AND(G83&lt;=TODAY(),ISNUMBER(DATE(YEAR(G83),MONTH(G83),DAY(G83)))),IF(AND(OR(C83="S",C83="D"),J83&gt;24),-1,1),-1))</f>
        <v/>
      </c>
      <c r="AG83">
        <f>IF(OR(I83="CAT 1",I83="CAT 2",I83="CAT 3",I83="CAT 4"),1,0)</f>
        <v/>
      </c>
      <c r="AH83">
        <f>PRODUCT(AF83:AG83)*AE83</f>
        <v/>
      </c>
    </row>
    <row r="84" customFormat="1" s="12">
      <c r="A84" s="37" t="n">
        <v>83</v>
      </c>
      <c r="B84" s="38" t="n"/>
      <c r="C84" s="39" t="n"/>
      <c r="D84" s="65" t="n"/>
      <c r="E84" s="65" t="n"/>
      <c r="F84" s="39" t="n"/>
      <c r="G84" s="2" t="n"/>
      <c r="H84" s="39" t="n"/>
      <c r="I84" s="39" t="n"/>
      <c r="J84" s="50">
        <f>IFERROR(IF(G84="","",ROUNDDOWN(IF($G84="","",(inception_date-$G84)/365.25),0)),0)</f>
        <v/>
      </c>
      <c r="K84" s="37">
        <f>IF(I84="","",IF($AM$3=1,IFERROR(IF(J84=FALSE,"",VLOOKUP(J84,$AJ$1:$AK$18,2,1)),""),IFERROR(IF(J84 = "FALSE","",VLOOKUP(J84,#REF!,2,TRUE)),"")))</f>
        <v/>
      </c>
      <c r="L84" s="37" t="n"/>
      <c r="M84" s="37" t="n"/>
      <c r="N84" s="37" t="n"/>
      <c r="O84" s="41">
        <f>IF(C84="","",IF(R84=1,"Yes","No"))</f>
        <v/>
      </c>
      <c r="P84" s="51">
        <f>IFERROR(IF(C84="","",IF(AND(Census!C84="E",Census!J84&gt;=18,Census!J84&lt;=65),"Yes","No")),"ERROR")</f>
        <v/>
      </c>
      <c r="Q84" s="52">
        <f>IFERROR(IF(C84="","",IF(AND(Census!C84="E",Census!J84&gt;=18,Census!J84&lt;=64),"Yes","No")),"ERROR")</f>
        <v/>
      </c>
      <c r="R84" s="53">
        <f>IF(OR(AB84&lt;&gt;1,AC84&lt;&gt;1,AD84&lt;&gt;1,AF84&lt;&gt;1,AE84&lt;&gt;1,AG84&lt;&gt;1),-1,1)</f>
        <v/>
      </c>
      <c r="S84" s="54">
        <f>AB84</f>
        <v/>
      </c>
      <c r="T84" s="55">
        <f>AC84</f>
        <v/>
      </c>
      <c r="U84" s="55">
        <f>AD84</f>
        <v/>
      </c>
      <c r="V84" s="55">
        <f>AE84</f>
        <v/>
      </c>
      <c r="W84" s="55">
        <f>AF84</f>
        <v/>
      </c>
      <c r="X84" s="56">
        <f>AG84</f>
        <v/>
      </c>
      <c r="Y84" s="10" t="n"/>
      <c r="Z84" s="64" t="inlineStr">
        <is>
          <t>Cook Islander</t>
        </is>
      </c>
      <c r="AA84" s="10" t="n"/>
      <c r="AB84">
        <f>IFERROR(IF(OR(B84=0,B84=""),0,1),0)</f>
        <v/>
      </c>
      <c r="AC84">
        <f>IFERROR(IF(OR(C84="S",C84="D"),IF(AND(C84="D",D84="F"),1,IF(AND(C84="S",D84="M"),1,0)),IF(OR(C84="W",C84="H"),IF(OR(AND(C84="W",D84="F"),AND(C84="H",D84="M")),1,),IF(OR(D84="M",D84="F"),1,0))),0)</f>
        <v/>
      </c>
      <c r="AD84">
        <f>IFERROR(IF(OR(C84="E",C84="W",C84="H"),1,IF(C84 = "S",IF(D84="M",1,0),IF(D84 = "F",1,0))),0)</f>
        <v/>
      </c>
      <c r="AE84">
        <f>IFERROR(IF(OR(E84="M",E84="S"),IF(E84="M",IF(OR(C84="S",C84 = "D"),0,1),IF(OR(C84="W",C84="H"),0,1)),0),0)</f>
        <v/>
      </c>
      <c r="AF84">
        <f>IF(G84="",-1,IF(AND(G84&lt;=TODAY(),ISNUMBER(DATE(YEAR(G84),MONTH(G84),DAY(G84)))),IF(AND(OR(C84="S",C84="D"),J84&gt;24),-1,1),-1))</f>
        <v/>
      </c>
      <c r="AG84">
        <f>IF(OR(I84="CAT 1",I84="CAT 2",I84="CAT 3",I84="CAT 4"),1,0)</f>
        <v/>
      </c>
      <c r="AH84">
        <f>PRODUCT(AF84:AG84)*AE84</f>
        <v/>
      </c>
    </row>
    <row r="85" customFormat="1" s="12">
      <c r="A85" s="42" t="n">
        <v>84</v>
      </c>
      <c r="B85" s="43" t="n"/>
      <c r="C85" s="44" t="n"/>
      <c r="D85" s="17" t="n"/>
      <c r="E85" s="17" t="n"/>
      <c r="F85" s="39" t="n"/>
      <c r="G85" s="3" t="n"/>
      <c r="H85" s="44" t="n"/>
      <c r="I85" s="44" t="n"/>
      <c r="J85" s="42">
        <f>IFERROR(IF(G85="","",ROUNDDOWN(IF($G85="","",(inception_date-$G85)/365.25),0)),0)</f>
        <v/>
      </c>
      <c r="K85" s="42">
        <f>IF(I85="","",IF($AM$3=1,IFERROR(IF(J85=FALSE,"",VLOOKUP(J85,$AJ$1:$AK$18,2,1)),""),IFERROR(IF(J85 = "FALSE","",VLOOKUP(J85,#REF!,2,TRUE)),"")))</f>
        <v/>
      </c>
      <c r="L85" s="42" t="n"/>
      <c r="M85" s="42" t="n"/>
      <c r="N85" s="42" t="n"/>
      <c r="O85" s="46">
        <f>IF(C85="","",IF(R85=1,"Yes","No"))</f>
        <v/>
      </c>
      <c r="P85" s="57">
        <f>IFERROR(IF(C85="","",IF(AND(Census!C85="E",Census!J85&gt;=18,Census!J85&lt;=65),"Yes","No")),"ERROR")</f>
        <v/>
      </c>
      <c r="Q85" s="58">
        <f>IFERROR(IF(C85="","",IF(AND(Census!C85="E",Census!J85&gt;=18,Census!J85&lt;=64),"Yes","No")),"ERROR")</f>
        <v/>
      </c>
      <c r="R85" s="59">
        <f>IF(OR(AB85&lt;&gt;1,AC85&lt;&gt;1,AD85&lt;&gt;1,AF85&lt;&gt;1,AE85&lt;&gt;1,AG85&lt;&gt;1),-1,1)</f>
        <v/>
      </c>
      <c r="S85" s="60">
        <f>AB85</f>
        <v/>
      </c>
      <c r="T85" s="61">
        <f>AC85</f>
        <v/>
      </c>
      <c r="U85" s="61">
        <f>AD85</f>
        <v/>
      </c>
      <c r="V85" s="61">
        <f>AE85</f>
        <v/>
      </c>
      <c r="W85" s="61">
        <f>AF85</f>
        <v/>
      </c>
      <c r="X85" s="62">
        <f>AG85</f>
        <v/>
      </c>
      <c r="Y85" s="10" t="n"/>
      <c r="Z85" s="64" t="inlineStr">
        <is>
          <t>Costa Rican</t>
        </is>
      </c>
      <c r="AA85" s="10" t="n"/>
      <c r="AB85">
        <f>IFERROR(IF(OR(B85=0,B85=""),0,1),0)</f>
        <v/>
      </c>
      <c r="AC85">
        <f>IFERROR(IF(OR(C85="S",C85="D"),IF(AND(C85="D",D85="F"),1,IF(AND(C85="S",D85="M"),1,0)),IF(OR(C85="W",C85="H"),IF(OR(AND(C85="W",D85="F"),AND(C85="H",D85="M")),1,),IF(OR(D85="M",D85="F"),1,0))),0)</f>
        <v/>
      </c>
      <c r="AD85">
        <f>IFERROR(IF(OR(C85="E",C85="W",C85="H"),1,IF(C85 = "S",IF(D85="M",1,0),IF(D85 = "F",1,0))),0)</f>
        <v/>
      </c>
      <c r="AE85">
        <f>IFERROR(IF(OR(E85="M",E85="S"),IF(E85="M",IF(OR(C85="S",C85 = "D"),0,1),IF(OR(C85="W",C85="H"),0,1)),0),0)</f>
        <v/>
      </c>
      <c r="AF85">
        <f>IF(G85="",-1,IF(AND(G85&lt;=TODAY(),ISNUMBER(DATE(YEAR(G85),MONTH(G85),DAY(G85)))),IF(AND(OR(C85="S",C85="D"),J85&gt;24),-1,1),-1))</f>
        <v/>
      </c>
      <c r="AG85">
        <f>IF(OR(I85="CAT 1",I85="CAT 2",I85="CAT 3",I85="CAT 4"),1,0)</f>
        <v/>
      </c>
      <c r="AH85">
        <f>PRODUCT(AF85:AG85)*AE85</f>
        <v/>
      </c>
    </row>
    <row r="86" customFormat="1" s="12">
      <c r="A86" s="37" t="n">
        <v>85</v>
      </c>
      <c r="B86" s="38" t="n"/>
      <c r="C86" s="39" t="n"/>
      <c r="D86" s="65" t="n"/>
      <c r="E86" s="40" t="n"/>
      <c r="F86" s="39" t="n"/>
      <c r="G86" s="2" t="n"/>
      <c r="H86" s="39" t="n"/>
      <c r="I86" s="39" t="n"/>
      <c r="J86" s="50">
        <f>IFERROR(IF(G86="","",ROUNDDOWN(IF($G86="","",(inception_date-$G86)/365.25),0)),0)</f>
        <v/>
      </c>
      <c r="K86" s="37">
        <f>IF(I86="","",IF($AM$3=1,IFERROR(IF(J86=FALSE,"",VLOOKUP(J86,$AJ$1:$AK$18,2,1)),""),IFERROR(IF(J86 = "FALSE","",VLOOKUP(J86,#REF!,2,TRUE)),"")))</f>
        <v/>
      </c>
      <c r="L86" s="37" t="n"/>
      <c r="M86" s="37" t="n"/>
      <c r="N86" s="37" t="n"/>
      <c r="O86" s="41">
        <f>IF(C86="","",IF(R86=1,"Yes","No"))</f>
        <v/>
      </c>
      <c r="P86" s="51">
        <f>IFERROR(IF(C86="","",IF(AND(Census!C86="E",Census!J86&gt;=18,Census!J86&lt;=65),"Yes","No")),"ERROR")</f>
        <v/>
      </c>
      <c r="Q86" s="52">
        <f>IFERROR(IF(C86="","",IF(AND(Census!C86="E",Census!J86&gt;=18,Census!J86&lt;=64),"Yes","No")),"ERROR")</f>
        <v/>
      </c>
      <c r="R86" s="53">
        <f>IF(OR(AB86&lt;&gt;1,AC86&lt;&gt;1,AD86&lt;&gt;1,AF86&lt;&gt;1,AE86&lt;&gt;1,AG86&lt;&gt;1),-1,1)</f>
        <v/>
      </c>
      <c r="S86" s="54">
        <f>AB86</f>
        <v/>
      </c>
      <c r="T86" s="55">
        <f>AC86</f>
        <v/>
      </c>
      <c r="U86" s="55">
        <f>AD86</f>
        <v/>
      </c>
      <c r="V86" s="55">
        <f>AE86</f>
        <v/>
      </c>
      <c r="W86" s="55">
        <f>AF86</f>
        <v/>
      </c>
      <c r="X86" s="56">
        <f>AG86</f>
        <v/>
      </c>
      <c r="Y86" s="10" t="n"/>
      <c r="Z86" s="64" t="inlineStr">
        <is>
          <t>Croatian</t>
        </is>
      </c>
      <c r="AA86" s="10" t="n"/>
      <c r="AB86">
        <f>IFERROR(IF(OR(B86=0,B86=""),0,1),0)</f>
        <v/>
      </c>
      <c r="AC86">
        <f>IFERROR(IF(OR(C86="S",C86="D"),IF(AND(C86="D",D86="F"),1,IF(AND(C86="S",D86="M"),1,0)),IF(OR(C86="W",C86="H"),IF(OR(AND(C86="W",D86="F"),AND(C86="H",D86="M")),1,),IF(OR(D86="M",D86="F"),1,0))),0)</f>
        <v/>
      </c>
      <c r="AD86">
        <f>IFERROR(IF(OR(C86="E",C86="W",C86="H"),1,IF(C86 = "S",IF(D86="M",1,0),IF(D86 = "F",1,0))),0)</f>
        <v/>
      </c>
      <c r="AE86">
        <f>IFERROR(IF(OR(E86="M",E86="S"),IF(E86="M",IF(OR(C86="S",C86 = "D"),0,1),IF(OR(C86="W",C86="H"),0,1)),0),0)</f>
        <v/>
      </c>
      <c r="AF86">
        <f>IF(G86="",-1,IF(AND(G86&lt;=TODAY(),ISNUMBER(DATE(YEAR(G86),MONTH(G86),DAY(G86)))),IF(AND(OR(C86="S",C86="D"),J86&gt;24),-1,1),-1))</f>
        <v/>
      </c>
      <c r="AG86">
        <f>IF(OR(I86="CAT 1",I86="CAT 2",I86="CAT 3",I86="CAT 4"),1,0)</f>
        <v/>
      </c>
      <c r="AH86">
        <f>PRODUCT(AF86:AG86)*AE86</f>
        <v/>
      </c>
    </row>
    <row r="87" customFormat="1" s="12">
      <c r="A87" s="42" t="n">
        <v>86</v>
      </c>
      <c r="B87" s="43" t="n"/>
      <c r="C87" s="44" t="n"/>
      <c r="D87" s="17" t="n"/>
      <c r="E87" s="45" t="n"/>
      <c r="F87" s="39" t="n"/>
      <c r="G87" s="3" t="n"/>
      <c r="H87" s="44" t="n"/>
      <c r="I87" s="44" t="n"/>
      <c r="J87" s="42">
        <f>IFERROR(IF(G87="","",ROUNDDOWN(IF($G87="","",(inception_date-$G87)/365.25),0)),0)</f>
        <v/>
      </c>
      <c r="K87" s="42">
        <f>IF(I87="","",IF($AM$3=1,IFERROR(IF(J87=FALSE,"",VLOOKUP(J87,$AJ$1:$AK$18,2,1)),""),IFERROR(IF(J87 = "FALSE","",VLOOKUP(J87,#REF!,2,TRUE)),"")))</f>
        <v/>
      </c>
      <c r="L87" s="42" t="n"/>
      <c r="M87" s="42" t="n"/>
      <c r="N87" s="42" t="n"/>
      <c r="O87" s="46">
        <f>IF(C87="","",IF(R87=1,"Yes","No"))</f>
        <v/>
      </c>
      <c r="P87" s="57">
        <f>IFERROR(IF(C87="","",IF(AND(Census!C87="E",Census!J87&gt;=18,Census!J87&lt;=65),"Yes","No")),"ERROR")</f>
        <v/>
      </c>
      <c r="Q87" s="58">
        <f>IFERROR(IF(C87="","",IF(AND(Census!C87="E",Census!J87&gt;=18,Census!J87&lt;=64),"Yes","No")),"ERROR")</f>
        <v/>
      </c>
      <c r="R87" s="59">
        <f>IF(OR(AB87&lt;&gt;1,AC87&lt;&gt;1,AD87&lt;&gt;1,AF87&lt;&gt;1,AE87&lt;&gt;1,AG87&lt;&gt;1),-1,1)</f>
        <v/>
      </c>
      <c r="S87" s="60">
        <f>AB87</f>
        <v/>
      </c>
      <c r="T87" s="61">
        <f>AC87</f>
        <v/>
      </c>
      <c r="U87" s="61">
        <f>AD87</f>
        <v/>
      </c>
      <c r="V87" s="61">
        <f>AE87</f>
        <v/>
      </c>
      <c r="W87" s="61">
        <f>AF87</f>
        <v/>
      </c>
      <c r="X87" s="62">
        <f>AG87</f>
        <v/>
      </c>
      <c r="Y87" s="10" t="n"/>
      <c r="Z87" s="64" t="inlineStr">
        <is>
          <t>Cuban</t>
        </is>
      </c>
      <c r="AA87" s="10" t="n"/>
      <c r="AB87">
        <f>IFERROR(IF(OR(B87=0,B87=""),0,1),0)</f>
        <v/>
      </c>
      <c r="AC87">
        <f>IFERROR(IF(OR(C87="S",C87="D"),IF(AND(C87="D",D87="F"),1,IF(AND(C87="S",D87="M"),1,0)),IF(OR(C87="W",C87="H"),IF(OR(AND(C87="W",D87="F"),AND(C87="H",D87="M")),1,),IF(OR(D87="M",D87="F"),1,0))),0)</f>
        <v/>
      </c>
      <c r="AD87">
        <f>IFERROR(IF(OR(C87="E",C87="W",C87="H"),1,IF(C87 = "S",IF(D87="M",1,0),IF(D87 = "F",1,0))),0)</f>
        <v/>
      </c>
      <c r="AE87">
        <f>IFERROR(IF(OR(E87="M",E87="S"),IF(E87="M",IF(OR(C87="S",C87 = "D"),0,1),IF(OR(C87="W",C87="H"),0,1)),0),0)</f>
        <v/>
      </c>
      <c r="AF87">
        <f>IF(G87="",-1,IF(AND(G87&lt;=TODAY(),ISNUMBER(DATE(YEAR(G87),MONTH(G87),DAY(G87)))),IF(AND(OR(C87="S",C87="D"),J87&gt;24),-1,1),-1))</f>
        <v/>
      </c>
      <c r="AG87">
        <f>IF(OR(I87="CAT 1",I87="CAT 2",I87="CAT 3",I87="CAT 4"),1,0)</f>
        <v/>
      </c>
      <c r="AH87">
        <f>PRODUCT(AF87:AG87)*AE87</f>
        <v/>
      </c>
    </row>
    <row r="88" customFormat="1" s="12">
      <c r="A88" s="37" t="n">
        <v>87</v>
      </c>
      <c r="B88" s="38" t="n"/>
      <c r="C88" s="39" t="n"/>
      <c r="D88" s="65" t="n"/>
      <c r="E88" s="40" t="n"/>
      <c r="F88" s="39" t="n"/>
      <c r="G88" s="2" t="n"/>
      <c r="H88" s="39" t="n"/>
      <c r="I88" s="39" t="n"/>
      <c r="J88" s="50">
        <f>IFERROR(IF(G88="","",ROUNDDOWN(IF($G88="","",(inception_date-$G88)/365.25),0)),0)</f>
        <v/>
      </c>
      <c r="K88" s="37">
        <f>IF(I88="","",IF($AM$3=1,IFERROR(IF(J88=FALSE,"",VLOOKUP(J88,$AJ$1:$AK$18,2,1)),""),IFERROR(IF(J88 = "FALSE","",VLOOKUP(J88,#REF!,2,TRUE)),"")))</f>
        <v/>
      </c>
      <c r="L88" s="37" t="n"/>
      <c r="M88" s="37" t="n"/>
      <c r="N88" s="37" t="n"/>
      <c r="O88" s="41">
        <f>IF(C88="","",IF(R88=1,"Yes","No"))</f>
        <v/>
      </c>
      <c r="P88" s="51">
        <f>IFERROR(IF(C88="","",IF(AND(Census!C88="E",Census!J88&gt;=18,Census!J88&lt;=65),"Yes","No")),"ERROR")</f>
        <v/>
      </c>
      <c r="Q88" s="52">
        <f>IFERROR(IF(C88="","",IF(AND(Census!C88="E",Census!J88&gt;=18,Census!J88&lt;=64),"Yes","No")),"ERROR")</f>
        <v/>
      </c>
      <c r="R88" s="53">
        <f>IF(OR(AB88&lt;&gt;1,AC88&lt;&gt;1,AD88&lt;&gt;1,AF88&lt;&gt;1,AE88&lt;&gt;1,AG88&lt;&gt;1),-1,1)</f>
        <v/>
      </c>
      <c r="S88" s="54">
        <f>AB88</f>
        <v/>
      </c>
      <c r="T88" s="55">
        <f>AC88</f>
        <v/>
      </c>
      <c r="U88" s="55">
        <f>AD88</f>
        <v/>
      </c>
      <c r="V88" s="55">
        <f>AE88</f>
        <v/>
      </c>
      <c r="W88" s="55">
        <f>AF88</f>
        <v/>
      </c>
      <c r="X88" s="56">
        <f>AG88</f>
        <v/>
      </c>
      <c r="Y88" s="10" t="n"/>
      <c r="Z88" s="64" t="inlineStr">
        <is>
          <t>Cypriot</t>
        </is>
      </c>
      <c r="AA88" s="10" t="n"/>
      <c r="AB88">
        <f>IFERROR(IF(OR(B88=0,B88=""),0,1),0)</f>
        <v/>
      </c>
      <c r="AC88">
        <f>IFERROR(IF(OR(C88="S",C88="D"),IF(AND(C88="D",D88="F"),1,IF(AND(C88="S",D88="M"),1,0)),IF(OR(C88="W",C88="H"),IF(OR(AND(C88="W",D88="F"),AND(C88="H",D88="M")),1,),IF(OR(D88="M",D88="F"),1,0))),0)</f>
        <v/>
      </c>
      <c r="AD88">
        <f>IFERROR(IF(OR(C88="E",C88="W",C88="H"),1,IF(C88 = "S",IF(D88="M",1,0),IF(D88 = "F",1,0))),0)</f>
        <v/>
      </c>
      <c r="AE88">
        <f>IFERROR(IF(OR(E88="M",E88="S"),IF(E88="M",IF(OR(C88="S",C88 = "D"),0,1),IF(OR(C88="W",C88="H"),0,1)),0),0)</f>
        <v/>
      </c>
      <c r="AF88">
        <f>IF(G88="",-1,IF(AND(G88&lt;=TODAY(),ISNUMBER(DATE(YEAR(G88),MONTH(G88),DAY(G88)))),IF(AND(OR(C88="S",C88="D"),J88&gt;24),-1,1),-1))</f>
        <v/>
      </c>
      <c r="AG88">
        <f>IF(OR(I88="CAT 1",I88="CAT 2",I88="CAT 3",I88="CAT 4"),1,0)</f>
        <v/>
      </c>
      <c r="AH88">
        <f>PRODUCT(AF88:AG88)*AE88</f>
        <v/>
      </c>
    </row>
    <row r="89" customFormat="1" s="12">
      <c r="A89" s="42" t="n">
        <v>88</v>
      </c>
      <c r="B89" s="43" t="n"/>
      <c r="C89" s="44" t="n"/>
      <c r="D89" s="17" t="n"/>
      <c r="E89" s="45" t="n"/>
      <c r="F89" s="39" t="n"/>
      <c r="G89" s="3" t="n"/>
      <c r="H89" s="44" t="n"/>
      <c r="I89" s="44" t="n"/>
      <c r="J89" s="42">
        <f>IFERROR(IF(G89="","",ROUNDDOWN(IF($G89="","",(inception_date-$G89)/365.25),0)),0)</f>
        <v/>
      </c>
      <c r="K89" s="42">
        <f>IF(I89="","",IF($AM$3=1,IFERROR(IF(J89=FALSE,"",VLOOKUP(J89,$AJ$1:$AK$18,2,1)),""),IFERROR(IF(J89 = "FALSE","",VLOOKUP(J89,#REF!,2,TRUE)),"")))</f>
        <v/>
      </c>
      <c r="L89" s="42" t="n"/>
      <c r="M89" s="42" t="n"/>
      <c r="N89" s="42" t="n"/>
      <c r="O89" s="46">
        <f>IF(C89="","",IF(R89=1,"Yes","No"))</f>
        <v/>
      </c>
      <c r="P89" s="57">
        <f>IFERROR(IF(C89="","",IF(AND(Census!C89="E",Census!J89&gt;=18,Census!J89&lt;=65),"Yes","No")),"ERROR")</f>
        <v/>
      </c>
      <c r="Q89" s="58">
        <f>IFERROR(IF(C89="","",IF(AND(Census!C89="E",Census!J89&gt;=18,Census!J89&lt;=64),"Yes","No")),"ERROR")</f>
        <v/>
      </c>
      <c r="R89" s="59">
        <f>IF(OR(AB89&lt;&gt;1,AC89&lt;&gt;1,AD89&lt;&gt;1,AF89&lt;&gt;1,AE89&lt;&gt;1,AG89&lt;&gt;1),-1,1)</f>
        <v/>
      </c>
      <c r="S89" s="60">
        <f>AB89</f>
        <v/>
      </c>
      <c r="T89" s="61">
        <f>AC89</f>
        <v/>
      </c>
      <c r="U89" s="61">
        <f>AD89</f>
        <v/>
      </c>
      <c r="V89" s="61">
        <f>AE89</f>
        <v/>
      </c>
      <c r="W89" s="61">
        <f>AF89</f>
        <v/>
      </c>
      <c r="X89" s="62">
        <f>AG89</f>
        <v/>
      </c>
      <c r="Y89" s="10" t="n"/>
      <c r="Z89" s="64" t="inlineStr">
        <is>
          <t>Czech</t>
        </is>
      </c>
      <c r="AA89" s="10" t="n"/>
      <c r="AB89">
        <f>IFERROR(IF(OR(B89=0,B89=""),0,1),0)</f>
        <v/>
      </c>
      <c r="AC89">
        <f>IFERROR(IF(OR(C89="S",C89="D"),IF(AND(C89="D",D89="F"),1,IF(AND(C89="S",D89="M"),1,0)),IF(OR(C89="W",C89="H"),IF(OR(AND(C89="W",D89="F"),AND(C89="H",D89="M")),1,),IF(OR(D89="M",D89="F"),1,0))),0)</f>
        <v/>
      </c>
      <c r="AD89">
        <f>IFERROR(IF(OR(C89="E",C89="W",C89="H"),1,IF(C89 = "S",IF(D89="M",1,0),IF(D89 = "F",1,0))),0)</f>
        <v/>
      </c>
      <c r="AE89">
        <f>IFERROR(IF(OR(E89="M",E89="S"),IF(E89="M",IF(OR(C89="S",C89 = "D"),0,1),IF(OR(C89="W",C89="H"),0,1)),0),0)</f>
        <v/>
      </c>
      <c r="AF89">
        <f>IF(G89="",-1,IF(AND(G89&lt;=TODAY(),ISNUMBER(DATE(YEAR(G89),MONTH(G89),DAY(G89)))),IF(AND(OR(C89="S",C89="D"),J89&gt;24),-1,1),-1))</f>
        <v/>
      </c>
      <c r="AG89">
        <f>IF(OR(I89="CAT 1",I89="CAT 2",I89="CAT 3",I89="CAT 4"),1,0)</f>
        <v/>
      </c>
      <c r="AH89">
        <f>PRODUCT(AF89:AG89)*AE89</f>
        <v/>
      </c>
    </row>
    <row r="90" customFormat="1" s="12">
      <c r="A90" s="37" t="n">
        <v>89</v>
      </c>
      <c r="B90" s="38" t="n"/>
      <c r="C90" s="39" t="n"/>
      <c r="D90" s="65" t="n"/>
      <c r="E90" s="40" t="n"/>
      <c r="F90" s="39" t="n"/>
      <c r="G90" s="2" t="n"/>
      <c r="H90" s="39" t="n"/>
      <c r="I90" s="39" t="n"/>
      <c r="J90" s="50">
        <f>IFERROR(IF(G90="","",ROUNDDOWN(IF($G90="","",(inception_date-$G90)/365.25),0)),0)</f>
        <v/>
      </c>
      <c r="K90" s="37">
        <f>IF(I90="","",IF($AM$3=1,IFERROR(IF(J90=FALSE,"",VLOOKUP(J90,$AJ$1:$AK$18,2,1)),""),IFERROR(IF(J90 = "FALSE","",VLOOKUP(J90,#REF!,2,TRUE)),"")))</f>
        <v/>
      </c>
      <c r="L90" s="37" t="n"/>
      <c r="M90" s="37" t="n"/>
      <c r="N90" s="37" t="n"/>
      <c r="O90" s="41">
        <f>IF(C90="","",IF(R90=1,"Yes","No"))</f>
        <v/>
      </c>
      <c r="P90" s="51">
        <f>IFERROR(IF(C90="","",IF(AND(Census!C90="E",Census!J90&gt;=18,Census!J90&lt;=65),"Yes","No")),"ERROR")</f>
        <v/>
      </c>
      <c r="Q90" s="52">
        <f>IFERROR(IF(C90="","",IF(AND(Census!C90="E",Census!J90&gt;=18,Census!J90&lt;=64),"Yes","No")),"ERROR")</f>
        <v/>
      </c>
      <c r="R90" s="53">
        <f>IF(OR(AB90&lt;&gt;1,AC90&lt;&gt;1,AD90&lt;&gt;1,AF90&lt;&gt;1,AE90&lt;&gt;1,AG90&lt;&gt;1),-1,1)</f>
        <v/>
      </c>
      <c r="S90" s="54">
        <f>AB90</f>
        <v/>
      </c>
      <c r="T90" s="55">
        <f>AC90</f>
        <v/>
      </c>
      <c r="U90" s="55">
        <f>AD90</f>
        <v/>
      </c>
      <c r="V90" s="55">
        <f>AE90</f>
        <v/>
      </c>
      <c r="W90" s="55">
        <f>AF90</f>
        <v/>
      </c>
      <c r="X90" s="56">
        <f>AG90</f>
        <v/>
      </c>
      <c r="Y90" s="10" t="n"/>
      <c r="Z90" s="64" t="inlineStr">
        <is>
          <t>Danish</t>
        </is>
      </c>
      <c r="AA90" s="10" t="n"/>
      <c r="AB90">
        <f>IFERROR(IF(OR(B90=0,B90=""),0,1),0)</f>
        <v/>
      </c>
      <c r="AC90">
        <f>IFERROR(IF(OR(C90="S",C90="D"),IF(AND(C90="D",D90="F"),1,IF(AND(C90="S",D90="M"),1,0)),IF(OR(C90="W",C90="H"),IF(OR(AND(C90="W",D90="F"),AND(C90="H",D90="M")),1,),IF(OR(D90="M",D90="F"),1,0))),0)</f>
        <v/>
      </c>
      <c r="AD90">
        <f>IFERROR(IF(OR(C90="E",C90="W",C90="H"),1,IF(C90 = "S",IF(D90="M",1,0),IF(D90 = "F",1,0))),0)</f>
        <v/>
      </c>
      <c r="AE90">
        <f>IFERROR(IF(OR(E90="M",E90="S"),IF(E90="M",IF(OR(C90="S",C90 = "D"),0,1),IF(OR(C90="W",C90="H"),0,1)),0),0)</f>
        <v/>
      </c>
      <c r="AF90">
        <f>IF(G90="",-1,IF(AND(G90&lt;=TODAY(),ISNUMBER(DATE(YEAR(G90),MONTH(G90),DAY(G90)))),IF(AND(OR(C90="S",C90="D"),J90&gt;24),-1,1),-1))</f>
        <v/>
      </c>
      <c r="AG90">
        <f>IF(OR(I90="CAT 1",I90="CAT 2",I90="CAT 3",I90="CAT 4"),1,0)</f>
        <v/>
      </c>
      <c r="AH90">
        <f>PRODUCT(AF90:AG90)*AE90</f>
        <v/>
      </c>
    </row>
    <row r="91" customFormat="1" s="12">
      <c r="A91" s="42" t="n">
        <v>90</v>
      </c>
      <c r="B91" s="43" t="n"/>
      <c r="C91" s="44" t="n"/>
      <c r="D91" s="17" t="n"/>
      <c r="E91" s="17" t="n"/>
      <c r="F91" s="39" t="n"/>
      <c r="G91" s="3" t="n"/>
      <c r="H91" s="44" t="n"/>
      <c r="I91" s="44" t="n"/>
      <c r="J91" s="42">
        <f>IFERROR(IF(G91="","",ROUNDDOWN(IF($G91="","",(inception_date-$G91)/365.25),0)),0)</f>
        <v/>
      </c>
      <c r="K91" s="42">
        <f>IF(I91="","",IF($AM$3=1,IFERROR(IF(J91=FALSE,"",VLOOKUP(J91,$AJ$1:$AK$18,2,1)),""),IFERROR(IF(J91 = "FALSE","",VLOOKUP(J91,#REF!,2,TRUE)),"")))</f>
        <v/>
      </c>
      <c r="L91" s="42" t="n"/>
      <c r="M91" s="42" t="n"/>
      <c r="N91" s="42" t="n"/>
      <c r="O91" s="46">
        <f>IF(C91="","",IF(R91=1,"Yes","No"))</f>
        <v/>
      </c>
      <c r="P91" s="57">
        <f>IFERROR(IF(C91="","",IF(AND(Census!C91="E",Census!J91&gt;=18,Census!J91&lt;=65),"Yes","No")),"ERROR")</f>
        <v/>
      </c>
      <c r="Q91" s="58">
        <f>IFERROR(IF(C91="","",IF(AND(Census!C91="E",Census!J91&gt;=18,Census!J91&lt;=64),"Yes","No")),"ERROR")</f>
        <v/>
      </c>
      <c r="R91" s="59">
        <f>IF(OR(AB91&lt;&gt;1,AC91&lt;&gt;1,AD91&lt;&gt;1,AF91&lt;&gt;1,AE91&lt;&gt;1,AG91&lt;&gt;1),-1,1)</f>
        <v/>
      </c>
      <c r="S91" s="60">
        <f>AB91</f>
        <v/>
      </c>
      <c r="T91" s="61">
        <f>AC91</f>
        <v/>
      </c>
      <c r="U91" s="61">
        <f>AD91</f>
        <v/>
      </c>
      <c r="V91" s="61">
        <f>AE91</f>
        <v/>
      </c>
      <c r="W91" s="61">
        <f>AF91</f>
        <v/>
      </c>
      <c r="X91" s="62">
        <f>AG91</f>
        <v/>
      </c>
      <c r="Y91" s="10" t="n"/>
      <c r="Z91" s="64" t="inlineStr">
        <is>
          <t>Djiboutian</t>
        </is>
      </c>
      <c r="AA91" s="10" t="n"/>
      <c r="AB91">
        <f>IFERROR(IF(OR(B91=0,B91=""),0,1),0)</f>
        <v/>
      </c>
      <c r="AC91">
        <f>IFERROR(IF(OR(C91="S",C91="D"),IF(AND(C91="D",D91="F"),1,IF(AND(C91="S",D91="M"),1,0)),IF(OR(C91="W",C91="H"),IF(OR(AND(C91="W",D91="F"),AND(C91="H",D91="M")),1,),IF(OR(D91="M",D91="F"),1,0))),0)</f>
        <v/>
      </c>
      <c r="AD91">
        <f>IFERROR(IF(OR(C91="E",C91="W",C91="H"),1,IF(C91 = "S",IF(D91="M",1,0),IF(D91 = "F",1,0))),0)</f>
        <v/>
      </c>
      <c r="AE91">
        <f>IFERROR(IF(OR(E91="M",E91="S"),IF(E91="M",IF(OR(C91="S",C91 = "D"),0,1),IF(OR(C91="W",C91="H"),0,1)),0),0)</f>
        <v/>
      </c>
      <c r="AF91">
        <f>IF(G91="",-1,IF(AND(G91&lt;=TODAY(),ISNUMBER(DATE(YEAR(G91),MONTH(G91),DAY(G91)))),IF(AND(OR(C91="S",C91="D"),J91&gt;24),-1,1),-1))</f>
        <v/>
      </c>
      <c r="AG91">
        <f>IF(OR(I91="CAT 1",I91="CAT 2",I91="CAT 3",I91="CAT 4"),1,0)</f>
        <v/>
      </c>
      <c r="AH91">
        <f>PRODUCT(AF91:AG91)*AE91</f>
        <v/>
      </c>
    </row>
    <row r="92" customFormat="1" s="12">
      <c r="A92" s="37" t="n">
        <v>91</v>
      </c>
      <c r="B92" s="38" t="n"/>
      <c r="C92" s="39" t="n"/>
      <c r="D92" s="65" t="n"/>
      <c r="E92" s="40" t="n"/>
      <c r="F92" s="39" t="n"/>
      <c r="G92" s="2" t="n"/>
      <c r="H92" s="39" t="n"/>
      <c r="I92" s="39" t="n"/>
      <c r="J92" s="50">
        <f>IFERROR(IF(G92="","",ROUNDDOWN(IF($G92="","",(inception_date-$G92)/365.25),0)),0)</f>
        <v/>
      </c>
      <c r="K92" s="37">
        <f>IF(I92="","",IF($AM$3=1,IFERROR(IF(J92=FALSE,"",VLOOKUP(J92,$AJ$1:$AK$18,2,1)),""),IFERROR(IF(J92 = "FALSE","",VLOOKUP(J92,#REF!,2,TRUE)),"")))</f>
        <v/>
      </c>
      <c r="L92" s="37" t="n"/>
      <c r="M92" s="37" t="n"/>
      <c r="N92" s="37" t="n"/>
      <c r="O92" s="41">
        <f>IF(C92="","",IF(R92=1,"Yes","No"))</f>
        <v/>
      </c>
      <c r="P92" s="51">
        <f>IFERROR(IF(C92="","",IF(AND(Census!C92="E",Census!J92&gt;=18,Census!J92&lt;=65),"Yes","No")),"ERROR")</f>
        <v/>
      </c>
      <c r="Q92" s="52">
        <f>IFERROR(IF(C92="","",IF(AND(Census!C92="E",Census!J92&gt;=18,Census!J92&lt;=64),"Yes","No")),"ERROR")</f>
        <v/>
      </c>
      <c r="R92" s="53">
        <f>IF(OR(AB92&lt;&gt;1,AC92&lt;&gt;1,AD92&lt;&gt;1,AF92&lt;&gt;1,AE92&lt;&gt;1,AG92&lt;&gt;1),-1,1)</f>
        <v/>
      </c>
      <c r="S92" s="54">
        <f>AB92</f>
        <v/>
      </c>
      <c r="T92" s="55">
        <f>AC92</f>
        <v/>
      </c>
      <c r="U92" s="55">
        <f>AD92</f>
        <v/>
      </c>
      <c r="V92" s="55">
        <f>AE92</f>
        <v/>
      </c>
      <c r="W92" s="55">
        <f>AF92</f>
        <v/>
      </c>
      <c r="X92" s="56">
        <f>AG92</f>
        <v/>
      </c>
      <c r="Y92" s="10" t="n"/>
      <c r="Z92" s="64" t="inlineStr">
        <is>
          <t>Dominican</t>
        </is>
      </c>
      <c r="AA92" s="10" t="n"/>
      <c r="AB92">
        <f>IFERROR(IF(OR(B92=0,B92=""),0,1),0)</f>
        <v/>
      </c>
      <c r="AC92">
        <f>IFERROR(IF(OR(C92="S",C92="D"),IF(AND(C92="D",D92="F"),1,IF(AND(C92="S",D92="M"),1,0)),IF(OR(C92="W",C92="H"),IF(OR(AND(C92="W",D92="F"),AND(C92="H",D92="M")),1,),IF(OR(D92="M",D92="F"),1,0))),0)</f>
        <v/>
      </c>
      <c r="AD92">
        <f>IFERROR(IF(OR(C92="E",C92="W",C92="H"),1,IF(C92 = "S",IF(D92="M",1,0),IF(D92 = "F",1,0))),0)</f>
        <v/>
      </c>
      <c r="AE92">
        <f>IFERROR(IF(OR(E92="M",E92="S"),IF(E92="M",IF(OR(C92="S",C92 = "D"),0,1),IF(OR(C92="W",C92="H"),0,1)),0),0)</f>
        <v/>
      </c>
      <c r="AF92">
        <f>IF(G92="",-1,IF(AND(G92&lt;=TODAY(),ISNUMBER(DATE(YEAR(G92),MONTH(G92),DAY(G92)))),IF(AND(OR(C92="S",C92="D"),J92&gt;24),-1,1),-1))</f>
        <v/>
      </c>
      <c r="AG92">
        <f>IF(OR(I92="CAT 1",I92="CAT 2",I92="CAT 3",I92="CAT 4"),1,0)</f>
        <v/>
      </c>
      <c r="AH92">
        <f>PRODUCT(AF92:AG92)*AE92</f>
        <v/>
      </c>
    </row>
    <row r="93" customFormat="1" s="12">
      <c r="A93" s="42" t="n">
        <v>92</v>
      </c>
      <c r="B93" s="43" t="n"/>
      <c r="C93" s="44" t="n"/>
      <c r="D93" s="17" t="n"/>
      <c r="E93" s="45" t="n"/>
      <c r="F93" s="39" t="n"/>
      <c r="G93" s="3" t="n"/>
      <c r="H93" s="44" t="n"/>
      <c r="I93" s="44" t="n"/>
      <c r="J93" s="42">
        <f>IFERROR(IF(G93="","",ROUNDDOWN(IF($G93="","",(inception_date-$G93)/365.25),0)),0)</f>
        <v/>
      </c>
      <c r="K93" s="42">
        <f>IF(I93="","",IF($AM$3=1,IFERROR(IF(J93=FALSE,"",VLOOKUP(J93,$AJ$1:$AK$18,2,1)),""),IFERROR(IF(J93 = "FALSE","",VLOOKUP(J93,#REF!,2,TRUE)),"")))</f>
        <v/>
      </c>
      <c r="L93" s="42" t="n"/>
      <c r="M93" s="42" t="n"/>
      <c r="N93" s="42" t="n"/>
      <c r="O93" s="46">
        <f>IF(C93="","",IF(R93=1,"Yes","No"))</f>
        <v/>
      </c>
      <c r="P93" s="57">
        <f>IFERROR(IF(C93="","",IF(AND(Census!C93="E",Census!J93&gt;=18,Census!J93&lt;=65),"Yes","No")),"ERROR")</f>
        <v/>
      </c>
      <c r="Q93" s="58">
        <f>IFERROR(IF(C93="","",IF(AND(Census!C93="E",Census!J93&gt;=18,Census!J93&lt;=64),"Yes","No")),"ERROR")</f>
        <v/>
      </c>
      <c r="R93" s="59">
        <f>IF(OR(AB93&lt;&gt;1,AC93&lt;&gt;1,AD93&lt;&gt;1,AF93&lt;&gt;1,AE93&lt;&gt;1,AG93&lt;&gt;1),-1,1)</f>
        <v/>
      </c>
      <c r="S93" s="60">
        <f>AB93</f>
        <v/>
      </c>
      <c r="T93" s="61">
        <f>AC93</f>
        <v/>
      </c>
      <c r="U93" s="61">
        <f>AD93</f>
        <v/>
      </c>
      <c r="V93" s="61">
        <f>AE93</f>
        <v/>
      </c>
      <c r="W93" s="61">
        <f>AF93</f>
        <v/>
      </c>
      <c r="X93" s="62">
        <f>AG93</f>
        <v/>
      </c>
      <c r="Y93" s="10" t="n"/>
      <c r="Z93" s="64" t="inlineStr">
        <is>
          <t>Dutch</t>
        </is>
      </c>
      <c r="AA93" s="10" t="n"/>
      <c r="AB93">
        <f>IFERROR(IF(OR(B93=0,B93=""),0,1),0)</f>
        <v/>
      </c>
      <c r="AC93">
        <f>IFERROR(IF(OR(C93="S",C93="D"),IF(AND(C93="D",D93="F"),1,IF(AND(C93="S",D93="M"),1,0)),IF(OR(C93="W",C93="H"),IF(OR(AND(C93="W",D93="F"),AND(C93="H",D93="M")),1,),IF(OR(D93="M",D93="F"),1,0))),0)</f>
        <v/>
      </c>
      <c r="AD93">
        <f>IFERROR(IF(OR(C93="E",C93="W",C93="H"),1,IF(C93 = "S",IF(D93="M",1,0),IF(D93 = "F",1,0))),0)</f>
        <v/>
      </c>
      <c r="AE93">
        <f>IFERROR(IF(OR(E93="M",E93="S"),IF(E93="M",IF(OR(C93="S",C93 = "D"),0,1),IF(OR(C93="W",C93="H"),0,1)),0),0)</f>
        <v/>
      </c>
      <c r="AF93">
        <f>IF(G93="",-1,IF(AND(G93&lt;=TODAY(),ISNUMBER(DATE(YEAR(G93),MONTH(G93),DAY(G93)))),IF(AND(OR(C93="S",C93="D"),J93&gt;24),-1,1),-1))</f>
        <v/>
      </c>
      <c r="AG93">
        <f>IF(OR(I93="CAT 1",I93="CAT 2",I93="CAT 3",I93="CAT 4"),1,0)</f>
        <v/>
      </c>
      <c r="AH93">
        <f>PRODUCT(AF93:AG93)*AE93</f>
        <v/>
      </c>
    </row>
    <row r="94" customFormat="1" s="12">
      <c r="A94" s="37" t="n">
        <v>93</v>
      </c>
      <c r="B94" s="38" t="n"/>
      <c r="C94" s="39" t="n"/>
      <c r="D94" s="65" t="n"/>
      <c r="E94" s="65" t="n"/>
      <c r="F94" s="39" t="n"/>
      <c r="G94" s="2" t="n"/>
      <c r="H94" s="39" t="n"/>
      <c r="I94" s="39" t="n"/>
      <c r="J94" s="50">
        <f>IFERROR(IF(G94="","",ROUNDDOWN(IF($G94="","",(inception_date-$G94)/365.25),0)),0)</f>
        <v/>
      </c>
      <c r="K94" s="37">
        <f>IF(I94="","",IF($AM$3=1,IFERROR(IF(J94=FALSE,"",VLOOKUP(J94,$AJ$1:$AK$18,2,1)),""),IFERROR(IF(J94 = "FALSE","",VLOOKUP(J94,#REF!,2,TRUE)),"")))</f>
        <v/>
      </c>
      <c r="L94" s="37" t="n"/>
      <c r="M94" s="37" t="n"/>
      <c r="N94" s="37" t="n"/>
      <c r="O94" s="41">
        <f>IF(C94="","",IF(R94=1,"Yes","No"))</f>
        <v/>
      </c>
      <c r="P94" s="51">
        <f>IFERROR(IF(C94="","",IF(AND(Census!C94="E",Census!J94&gt;=18,Census!J94&lt;=65),"Yes","No")),"ERROR")</f>
        <v/>
      </c>
      <c r="Q94" s="52">
        <f>IFERROR(IF(C94="","",IF(AND(Census!C94="E",Census!J94&gt;=18,Census!J94&lt;=64),"Yes","No")),"ERROR")</f>
        <v/>
      </c>
      <c r="R94" s="53">
        <f>IF(OR(AB94&lt;&gt;1,AC94&lt;&gt;1,AD94&lt;&gt;1,AF94&lt;&gt;1,AE94&lt;&gt;1,AG94&lt;&gt;1),-1,1)</f>
        <v/>
      </c>
      <c r="S94" s="54">
        <f>AB94</f>
        <v/>
      </c>
      <c r="T94" s="55">
        <f>AC94</f>
        <v/>
      </c>
      <c r="U94" s="55">
        <f>AD94</f>
        <v/>
      </c>
      <c r="V94" s="55">
        <f>AE94</f>
        <v/>
      </c>
      <c r="W94" s="55">
        <f>AF94</f>
        <v/>
      </c>
      <c r="X94" s="56">
        <f>AG94</f>
        <v/>
      </c>
      <c r="Y94" s="10" t="n"/>
      <c r="Z94" s="64" t="inlineStr">
        <is>
          <t>Ecuadorian</t>
        </is>
      </c>
      <c r="AA94" s="10" t="n"/>
      <c r="AB94">
        <f>IFERROR(IF(OR(B94=0,B94=""),0,1),0)</f>
        <v/>
      </c>
      <c r="AC94">
        <f>IFERROR(IF(OR(C94="S",C94="D"),IF(AND(C94="D",D94="F"),1,IF(AND(C94="S",D94="M"),1,0)),IF(OR(C94="W",C94="H"),IF(OR(AND(C94="W",D94="F"),AND(C94="H",D94="M")),1,),IF(OR(D94="M",D94="F"),1,0))),0)</f>
        <v/>
      </c>
      <c r="AD94">
        <f>IFERROR(IF(OR(C94="E",C94="W",C94="H"),1,IF(C94 = "S",IF(D94="M",1,0),IF(D94 = "F",1,0))),0)</f>
        <v/>
      </c>
      <c r="AE94">
        <f>IFERROR(IF(OR(E94="M",E94="S"),IF(E94="M",IF(OR(C94="S",C94 = "D"),0,1),IF(OR(C94="W",C94="H"),0,1)),0),0)</f>
        <v/>
      </c>
      <c r="AF94">
        <f>IF(G94="",-1,IF(AND(G94&lt;=TODAY(),ISNUMBER(DATE(YEAR(G94),MONTH(G94),DAY(G94)))),IF(AND(OR(C94="S",C94="D"),J94&gt;24),-1,1),-1))</f>
        <v/>
      </c>
      <c r="AG94">
        <f>IF(OR(I94="CAT 1",I94="CAT 2",I94="CAT 3",I94="CAT 4"),1,0)</f>
        <v/>
      </c>
      <c r="AH94">
        <f>PRODUCT(AF94:AG94)*AE94</f>
        <v/>
      </c>
    </row>
    <row r="95" customFormat="1" s="12">
      <c r="A95" s="42" t="n">
        <v>94</v>
      </c>
      <c r="B95" s="43" t="n"/>
      <c r="C95" s="44" t="n"/>
      <c r="D95" s="17" t="n"/>
      <c r="E95" s="17" t="n"/>
      <c r="F95" s="39" t="n"/>
      <c r="G95" s="3" t="n"/>
      <c r="H95" s="44" t="n"/>
      <c r="I95" s="44" t="n"/>
      <c r="J95" s="42">
        <f>IFERROR(IF(G95="","",ROUNDDOWN(IF($G95="","",(inception_date-$G95)/365.25),0)),0)</f>
        <v/>
      </c>
      <c r="K95" s="42">
        <f>IF(I95="","",IF($AM$3=1,IFERROR(IF(J95=FALSE,"",VLOOKUP(J95,$AJ$1:$AK$18,2,1)),""),IFERROR(IF(J95 = "FALSE","",VLOOKUP(J95,#REF!,2,TRUE)),"")))</f>
        <v/>
      </c>
      <c r="L95" s="42" t="n"/>
      <c r="M95" s="42" t="n"/>
      <c r="N95" s="42" t="n"/>
      <c r="O95" s="46">
        <f>IF(C95="","",IF(R95=1,"Yes","No"))</f>
        <v/>
      </c>
      <c r="P95" s="57">
        <f>IFERROR(IF(C95="","",IF(AND(Census!C95="E",Census!J95&gt;=18,Census!J95&lt;=65),"Yes","No")),"ERROR")</f>
        <v/>
      </c>
      <c r="Q95" s="58">
        <f>IFERROR(IF(C95="","",IF(AND(Census!C95="E",Census!J95&gt;=18,Census!J95&lt;=64),"Yes","No")),"ERROR")</f>
        <v/>
      </c>
      <c r="R95" s="59">
        <f>IF(OR(AB95&lt;&gt;1,AC95&lt;&gt;1,AD95&lt;&gt;1,AF95&lt;&gt;1,AE95&lt;&gt;1,AG95&lt;&gt;1),-1,1)</f>
        <v/>
      </c>
      <c r="S95" s="60">
        <f>AB95</f>
        <v/>
      </c>
      <c r="T95" s="61">
        <f>AC95</f>
        <v/>
      </c>
      <c r="U95" s="61">
        <f>AD95</f>
        <v/>
      </c>
      <c r="V95" s="61">
        <f>AE95</f>
        <v/>
      </c>
      <c r="W95" s="61">
        <f>AF95</f>
        <v/>
      </c>
      <c r="X95" s="62">
        <f>AG95</f>
        <v/>
      </c>
      <c r="Y95" s="10" t="n"/>
      <c r="Z95" s="64" t="inlineStr">
        <is>
          <t>Egyptian</t>
        </is>
      </c>
      <c r="AA95" s="10" t="n"/>
      <c r="AB95">
        <f>IFERROR(IF(OR(B95=0,B95=""),0,1),0)</f>
        <v/>
      </c>
      <c r="AC95">
        <f>IFERROR(IF(OR(C95="S",C95="D"),IF(AND(C95="D",D95="F"),1,IF(AND(C95="S",D95="M"),1,0)),IF(OR(C95="W",C95="H"),IF(OR(AND(C95="W",D95="F"),AND(C95="H",D95="M")),1,),IF(OR(D95="M",D95="F"),1,0))),0)</f>
        <v/>
      </c>
      <c r="AD95">
        <f>IFERROR(IF(OR(C95="E",C95="W",C95="H"),1,IF(C95 = "S",IF(D95="M",1,0),IF(D95 = "F",1,0))),0)</f>
        <v/>
      </c>
      <c r="AE95">
        <f>IFERROR(IF(OR(E95="M",E95="S"),IF(E95="M",IF(OR(C95="S",C95 = "D"),0,1),IF(OR(C95="W",C95="H"),0,1)),0),0)</f>
        <v/>
      </c>
      <c r="AF95">
        <f>IF(G95="",-1,IF(AND(G95&lt;=TODAY(),ISNUMBER(DATE(YEAR(G95),MONTH(G95),DAY(G95)))),IF(AND(OR(C95="S",C95="D"),J95&gt;24),-1,1),-1))</f>
        <v/>
      </c>
      <c r="AG95">
        <f>IF(OR(I95="CAT 1",I95="CAT 2",I95="CAT 3",I95="CAT 4"),1,0)</f>
        <v/>
      </c>
      <c r="AH95">
        <f>PRODUCT(AF95:AG95)*AE95</f>
        <v/>
      </c>
    </row>
    <row r="96" customFormat="1" s="12">
      <c r="A96" s="37" t="n">
        <v>95</v>
      </c>
      <c r="B96" s="38" t="n"/>
      <c r="C96" s="39" t="n"/>
      <c r="D96" s="65" t="n"/>
      <c r="E96" s="65" t="n"/>
      <c r="F96" s="39" t="n"/>
      <c r="G96" s="2" t="n"/>
      <c r="H96" s="39" t="n"/>
      <c r="I96" s="39" t="n"/>
      <c r="J96" s="50">
        <f>IFERROR(IF(G96="","",ROUNDDOWN(IF($G96="","",(inception_date-$G96)/365.25),0)),0)</f>
        <v/>
      </c>
      <c r="K96" s="37">
        <f>IF(I96="","",IF($AM$3=1,IFERROR(IF(J96=FALSE,"",VLOOKUP(J96,$AJ$1:$AK$18,2,1)),""),IFERROR(IF(J96 = "FALSE","",VLOOKUP(J96,#REF!,2,TRUE)),"")))</f>
        <v/>
      </c>
      <c r="L96" s="37" t="n"/>
      <c r="M96" s="37" t="n"/>
      <c r="N96" s="37" t="n"/>
      <c r="O96" s="41">
        <f>IF(C96="","",IF(R96=1,"Yes","No"))</f>
        <v/>
      </c>
      <c r="P96" s="51">
        <f>IFERROR(IF(C96="","",IF(AND(Census!C96="E",Census!J96&gt;=18,Census!J96&lt;=65),"Yes","No")),"ERROR")</f>
        <v/>
      </c>
      <c r="Q96" s="52">
        <f>IFERROR(IF(C96="","",IF(AND(Census!C96="E",Census!J96&gt;=18,Census!J96&lt;=64),"Yes","No")),"ERROR")</f>
        <v/>
      </c>
      <c r="R96" s="53">
        <f>IF(OR(AB96&lt;&gt;1,AC96&lt;&gt;1,AD96&lt;&gt;1,AF96&lt;&gt;1,AE96&lt;&gt;1,AG96&lt;&gt;1),-1,1)</f>
        <v/>
      </c>
      <c r="S96" s="54">
        <f>AB96</f>
        <v/>
      </c>
      <c r="T96" s="55">
        <f>AC96</f>
        <v/>
      </c>
      <c r="U96" s="55">
        <f>AD96</f>
        <v/>
      </c>
      <c r="V96" s="55">
        <f>AE96</f>
        <v/>
      </c>
      <c r="W96" s="55">
        <f>AF96</f>
        <v/>
      </c>
      <c r="X96" s="56">
        <f>AG96</f>
        <v/>
      </c>
      <c r="Y96" s="10" t="n"/>
      <c r="Z96" s="64" t="inlineStr">
        <is>
          <t>Emirati</t>
        </is>
      </c>
      <c r="AA96" s="10" t="n"/>
      <c r="AB96">
        <f>IFERROR(IF(OR(B96=0,B96=""),0,1),0)</f>
        <v/>
      </c>
      <c r="AC96">
        <f>IFERROR(IF(OR(C96="S",C96="D"),IF(AND(C96="D",D96="F"),1,IF(AND(C96="S",D96="M"),1,0)),IF(OR(C96="W",C96="H"),IF(OR(AND(C96="W",D96="F"),AND(C96="H",D96="M")),1,),IF(OR(D96="M",D96="F"),1,0))),0)</f>
        <v/>
      </c>
      <c r="AD96">
        <f>IFERROR(IF(OR(C96="E",C96="W",C96="H"),1,IF(C96 = "S",IF(D96="M",1,0),IF(D96 = "F",1,0))),0)</f>
        <v/>
      </c>
      <c r="AE96">
        <f>IFERROR(IF(OR(E96="M",E96="S"),IF(E96="M",IF(OR(C96="S",C96 = "D"),0,1),IF(OR(C96="W",C96="H"),0,1)),0),0)</f>
        <v/>
      </c>
      <c r="AF96">
        <f>IF(G96="",-1,IF(AND(G96&lt;=TODAY(),ISNUMBER(DATE(YEAR(G96),MONTH(G96),DAY(G96)))),IF(AND(OR(C96="S",C96="D"),J96&gt;24),-1,1),-1))</f>
        <v/>
      </c>
      <c r="AG96">
        <f>IF(OR(I96="CAT 1",I96="CAT 2",I96="CAT 3",I96="CAT 4"),1,0)</f>
        <v/>
      </c>
      <c r="AH96">
        <f>PRODUCT(AF96:AG96)*AE96</f>
        <v/>
      </c>
    </row>
    <row r="97" customFormat="1" s="12">
      <c r="A97" s="42" t="n"/>
      <c r="B97" s="43" t="n"/>
      <c r="C97" s="44" t="n"/>
      <c r="D97" s="17" t="n"/>
      <c r="E97" s="17" t="n"/>
      <c r="F97" s="39" t="n"/>
      <c r="G97" s="3" t="n"/>
      <c r="H97" s="44" t="n"/>
      <c r="I97" s="44" t="n"/>
      <c r="J97" s="42">
        <f>IFERROR(IF(G97="","",ROUNDDOWN(IF($G97="","",(inception_date-$G97)/365.25),0)),0)</f>
        <v/>
      </c>
      <c r="K97" s="42">
        <f>IF(I97="","",IF($AM$3=1,IFERROR(IF(J97=FALSE,"",VLOOKUP(J97,$AJ$1:$AK$18,2,1)),""),IFERROR(IF(J97 = "FALSE","",VLOOKUP(J97,#REF!,2,TRUE)),"")))</f>
        <v/>
      </c>
      <c r="L97" s="42" t="n"/>
      <c r="M97" s="42" t="n"/>
      <c r="N97" s="42" t="n"/>
      <c r="O97" s="46">
        <f>IF(C97="","",IF(R97=1,"Yes","No"))</f>
        <v/>
      </c>
      <c r="P97" s="57">
        <f>IFERROR(IF(C97="","",IF(AND(Census!C97="E",Census!J97&gt;=18,Census!J97&lt;=65),"Yes","No")),"ERROR")</f>
        <v/>
      </c>
      <c r="Q97" s="58">
        <f>IFERROR(IF(C97="","",IF(AND(Census!C97="E",Census!J97&gt;=18,Census!J97&lt;=64),"Yes","No")),"ERROR")</f>
        <v/>
      </c>
      <c r="R97" s="59">
        <f>IF(OR(AB97&lt;&gt;1,AC97&lt;&gt;1,AD97&lt;&gt;1,AF97&lt;&gt;1,AE97&lt;&gt;1,AG97&lt;&gt;1),-1,1)</f>
        <v/>
      </c>
      <c r="S97" s="60">
        <f>AB97</f>
        <v/>
      </c>
      <c r="T97" s="61">
        <f>AC97</f>
        <v/>
      </c>
      <c r="U97" s="61">
        <f>AD97</f>
        <v/>
      </c>
      <c r="V97" s="61">
        <f>AE97</f>
        <v/>
      </c>
      <c r="W97" s="61">
        <f>AF97</f>
        <v/>
      </c>
      <c r="X97" s="62">
        <f>AG97</f>
        <v/>
      </c>
      <c r="Y97" s="10" t="n"/>
      <c r="Z97" s="64" t="inlineStr">
        <is>
          <t>English</t>
        </is>
      </c>
      <c r="AA97" s="10" t="n"/>
      <c r="AB97">
        <f>IFERROR(IF(OR(B97=0,B97=""),0,1),0)</f>
        <v/>
      </c>
      <c r="AC97">
        <f>IFERROR(IF(OR(C97="S",C97="D"),IF(AND(C97="D",D97="F"),1,IF(AND(C97="S",D97="M"),1,0)),IF(OR(C97="W",C97="H"),IF(OR(AND(C97="W",D97="F"),AND(C97="H",D97="M")),1,),IF(OR(D97="M",D97="F"),1,0))),0)</f>
        <v/>
      </c>
      <c r="AD97">
        <f>IFERROR(IF(OR(C97="E",C97="W",C97="H"),1,IF(C97 = "S",IF(D97="M",1,0),IF(D97 = "F",1,0))),0)</f>
        <v/>
      </c>
      <c r="AE97">
        <f>IFERROR(IF(OR(E97="M",E97="S"),IF(E97="M",IF(OR(C97="S",C97 = "D"),0,1),IF(OR(C97="W",C97="H"),0,1)),0),0)</f>
        <v/>
      </c>
      <c r="AF97">
        <f>IF(G97="",-1,IF(AND(G97&lt;=TODAY(),ISNUMBER(DATE(YEAR(G97),MONTH(G97),DAY(G97)))),IF(AND(OR(C97="S",C97="D"),J97&gt;24),-1,1),-1))</f>
        <v/>
      </c>
      <c r="AG97">
        <f>IF(OR(I97="CAT 1",I97="CAT 2",I97="CAT 3",I97="CAT 4"),1,0)</f>
        <v/>
      </c>
      <c r="AH97">
        <f>PRODUCT(AF97:AG97)*AE97</f>
        <v/>
      </c>
    </row>
    <row r="98" customFormat="1" s="12">
      <c r="A98" s="37" t="n">
        <v>97</v>
      </c>
      <c r="B98" s="38" t="n"/>
      <c r="C98" s="39" t="n"/>
      <c r="D98" s="40" t="n"/>
      <c r="E98" s="40" t="n"/>
      <c r="F98" s="39" t="n"/>
      <c r="G98" s="2" t="n"/>
      <c r="H98" s="2" t="n"/>
      <c r="I98" s="39" t="n"/>
      <c r="J98" s="50">
        <f>IFERROR(IF(G98="","",ROUNDDOWN(IF($G98="","",(inception_date-$G98)/365.25),0)),0)</f>
        <v/>
      </c>
      <c r="K98" s="37">
        <f>IF(I98="","",IF($AM$3=1,IFERROR(IF(J98=FALSE,"",VLOOKUP(J98,$AJ$1:$AK$18,2,1)),""),IFERROR(IF(J98 = "FALSE","",VLOOKUP(J98,#REF!,2,TRUE)),"")))</f>
        <v/>
      </c>
      <c r="L98" s="37" t="n"/>
      <c r="M98" s="37" t="n"/>
      <c r="N98" s="37" t="n"/>
      <c r="O98" s="41">
        <f>IF(C98="","",IF(R98=1,"Yes","No"))</f>
        <v/>
      </c>
      <c r="P98" s="51">
        <f>IFERROR(IF(C98="","",IF(AND(Census!C98="E",Census!J98&gt;=18,Census!J98&lt;=65),"Yes","No")),"ERROR")</f>
        <v/>
      </c>
      <c r="Q98" s="52">
        <f>IFERROR(IF(C98="","",IF(AND(Census!C98="E",Census!J98&gt;=18,Census!J98&lt;=64),"Yes","No")),"ERROR")</f>
        <v/>
      </c>
      <c r="R98" s="53">
        <f>IF(OR(AB98&lt;&gt;1,AC98&lt;&gt;1,AD98&lt;&gt;1,AF98&lt;&gt;1,AE98&lt;&gt;1,AG98&lt;&gt;1),-1,1)</f>
        <v/>
      </c>
      <c r="S98" s="54">
        <f>AB98</f>
        <v/>
      </c>
      <c r="T98" s="55">
        <f>AC98</f>
        <v/>
      </c>
      <c r="U98" s="55">
        <f>AD98</f>
        <v/>
      </c>
      <c r="V98" s="55">
        <f>AE98</f>
        <v/>
      </c>
      <c r="W98" s="55">
        <f>AF98</f>
        <v/>
      </c>
      <c r="X98" s="56">
        <f>AG98</f>
        <v/>
      </c>
      <c r="Y98" s="10" t="n"/>
      <c r="Z98" s="64" t="inlineStr">
        <is>
          <t>Equatoguinean</t>
        </is>
      </c>
      <c r="AA98" s="10" t="n"/>
      <c r="AB98">
        <f>IFERROR(IF(OR(B98=0,B98=""),0,1),0)</f>
        <v/>
      </c>
      <c r="AC98">
        <f>IFERROR(IF(OR(C98="S",C98="D"),IF(AND(C98="D",D98="F"),1,IF(AND(C98="S",D98="M"),1,0)),IF(OR(C98="W",C98="H"),IF(OR(AND(C98="W",D98="F"),AND(C98="H",D98="M")),1,),IF(OR(D98="M",D98="F"),1,0))),0)</f>
        <v/>
      </c>
      <c r="AD98">
        <f>IFERROR(IF(OR(C98="E",C98="W",C98="H"),1,IF(C98 = "S",IF(D98="M",1,0),IF(D98 = "F",1,0))),0)</f>
        <v/>
      </c>
      <c r="AE98">
        <f>IFERROR(IF(OR(E98="M",E98="S"),IF(E98="M",IF(OR(C98="S",C98 = "D"),0,1),IF(OR(C98="W",C98="H"),0,1)),0),0)</f>
        <v/>
      </c>
      <c r="AF98">
        <f>IF(G98="",-1,IF(AND(G98&lt;=TODAY(),ISNUMBER(DATE(YEAR(G98),MONTH(G98),DAY(G98)))),IF(AND(OR(C98="S",C98="D"),J98&gt;24),-1,1),-1))</f>
        <v/>
      </c>
      <c r="AG98">
        <f>IF(OR(I98="CAT 1",I98="CAT 2",I98="CAT 3",I98="CAT 4"),1,0)</f>
        <v/>
      </c>
      <c r="AH98">
        <f>PRODUCT(AF98:AG98)*AE98</f>
        <v/>
      </c>
    </row>
    <row r="99" customFormat="1" s="12">
      <c r="A99" s="42" t="n">
        <v>98</v>
      </c>
      <c r="B99" s="43" t="n"/>
      <c r="C99" s="44" t="n"/>
      <c r="D99" s="45" t="n"/>
      <c r="E99" s="45" t="n"/>
      <c r="F99" s="39" t="n"/>
      <c r="G99" s="3" t="n"/>
      <c r="H99" s="3" t="n"/>
      <c r="I99" s="44" t="n"/>
      <c r="J99" s="42">
        <f>IFERROR(IF(G99="","",ROUNDDOWN(IF($G99="","",(inception_date-$G99)/365.25),0)),0)</f>
        <v/>
      </c>
      <c r="K99" s="42">
        <f>IF(I99="","",IF($AM$3=1,IFERROR(IF(J99=FALSE,"",VLOOKUP(J99,$AJ$1:$AK$18,2,1)),""),IFERROR(IF(J99 = "FALSE","",VLOOKUP(J99,#REF!,2,TRUE)),"")))</f>
        <v/>
      </c>
      <c r="L99" s="42" t="n"/>
      <c r="M99" s="42" t="n"/>
      <c r="N99" s="42" t="n"/>
      <c r="O99" s="46">
        <f>IF(C99="","",IF(R99=1,"Yes","No"))</f>
        <v/>
      </c>
      <c r="P99" s="57">
        <f>IFERROR(IF(C99="","",IF(AND(Census!C99="E",Census!J99&gt;=18,Census!J99&lt;=65),"Yes","No")),"ERROR")</f>
        <v/>
      </c>
      <c r="Q99" s="58">
        <f>IFERROR(IF(C99="","",IF(AND(Census!C99="E",Census!J99&gt;=18,Census!J99&lt;=64),"Yes","No")),"ERROR")</f>
        <v/>
      </c>
      <c r="R99" s="59">
        <f>IF(OR(AB99&lt;&gt;1,AC99&lt;&gt;1,AD99&lt;&gt;1,AF99&lt;&gt;1,AE99&lt;&gt;1,AG99&lt;&gt;1),-1,1)</f>
        <v/>
      </c>
      <c r="S99" s="60">
        <f>AB99</f>
        <v/>
      </c>
      <c r="T99" s="61">
        <f>AC99</f>
        <v/>
      </c>
      <c r="U99" s="61">
        <f>AD99</f>
        <v/>
      </c>
      <c r="V99" s="61">
        <f>AE99</f>
        <v/>
      </c>
      <c r="W99" s="61">
        <f>AF99</f>
        <v/>
      </c>
      <c r="X99" s="62">
        <f>AG99</f>
        <v/>
      </c>
      <c r="Y99" s="10" t="n"/>
      <c r="Z99" s="64" t="inlineStr">
        <is>
          <t>Eritrean</t>
        </is>
      </c>
      <c r="AA99" s="10" t="n"/>
      <c r="AB99">
        <f>IFERROR(IF(OR(B99=0,B99=""),0,1),0)</f>
        <v/>
      </c>
      <c r="AC99">
        <f>IFERROR(IF(OR(C99="S",C99="D"),IF(AND(C99="D",D99="F"),1,IF(AND(C99="S",D99="M"),1,0)),IF(OR(C99="W",C99="H"),IF(OR(AND(C99="W",D99="F"),AND(C99="H",D99="M")),1,),IF(OR(D99="M",D99="F"),1,0))),0)</f>
        <v/>
      </c>
      <c r="AD99">
        <f>IFERROR(IF(OR(C99="E",C99="W",C99="H"),1,IF(C99 = "S",IF(D99="M",1,0),IF(D99 = "F",1,0))),0)</f>
        <v/>
      </c>
      <c r="AE99">
        <f>IFERROR(IF(OR(E99="M",E99="S"),IF(E99="M",IF(OR(C99="S",C99 = "D"),0,1),IF(OR(C99="W",C99="H"),0,1)),0),0)</f>
        <v/>
      </c>
      <c r="AF99">
        <f>IF(G99="",-1,IF(AND(G99&lt;=TODAY(),ISNUMBER(DATE(YEAR(G99),MONTH(G99),DAY(G99)))),IF(AND(OR(C99="S",C99="D"),J99&gt;24),-1,1),-1))</f>
        <v/>
      </c>
      <c r="AG99">
        <f>IF(OR(I99="CAT 1",I99="CAT 2",I99="CAT 3",I99="CAT 4"),1,0)</f>
        <v/>
      </c>
      <c r="AH99">
        <f>PRODUCT(AF99:AG99)*AE99</f>
        <v/>
      </c>
    </row>
    <row r="100" customFormat="1" s="12">
      <c r="A100" s="37" t="n">
        <v>99</v>
      </c>
      <c r="B100" s="38" t="n"/>
      <c r="C100" s="39" t="n"/>
      <c r="D100" s="40" t="n"/>
      <c r="E100" s="40" t="n"/>
      <c r="F100" s="39" t="n"/>
      <c r="G100" s="2" t="n"/>
      <c r="H100" s="2" t="n"/>
      <c r="I100" s="39" t="n"/>
      <c r="J100" s="50">
        <f>IFERROR(IF(G100="","",ROUNDDOWN(IF($G100="","",(inception_date-$G100)/365.25),0)),0)</f>
        <v/>
      </c>
      <c r="K100" s="37">
        <f>IF(I100="","",IF($AM$3=1,IFERROR(IF(J100=FALSE,"",VLOOKUP(J100,$AJ$1:$AK$18,2,1)),""),IFERROR(IF(J100 = "FALSE","",VLOOKUP(J100,#REF!,2,TRUE)),"")))</f>
        <v/>
      </c>
      <c r="L100" s="37" t="n"/>
      <c r="M100" s="37" t="n"/>
      <c r="N100" s="37" t="n"/>
      <c r="O100" s="41">
        <f>IF(C100="","",IF(R100=1,"Yes","No"))</f>
        <v/>
      </c>
      <c r="P100" s="51">
        <f>IFERROR(IF(C100="","",IF(AND(Census!C100="E",Census!J100&gt;=18,Census!J100&lt;=65),"Yes","No")),"ERROR")</f>
        <v/>
      </c>
      <c r="Q100" s="52">
        <f>IFERROR(IF(C100="","",IF(AND(Census!C100="E",Census!J100&gt;=18,Census!J100&lt;=64),"Yes","No")),"ERROR")</f>
        <v/>
      </c>
      <c r="R100" s="53">
        <f>IF(OR(AB100&lt;&gt;1,AC100&lt;&gt;1,AD100&lt;&gt;1,AF100&lt;&gt;1,AE100&lt;&gt;1,AG100&lt;&gt;1),-1,1)</f>
        <v/>
      </c>
      <c r="S100" s="54">
        <f>AB100</f>
        <v/>
      </c>
      <c r="T100" s="55">
        <f>AC100</f>
        <v/>
      </c>
      <c r="U100" s="55">
        <f>AD100</f>
        <v/>
      </c>
      <c r="V100" s="55">
        <f>AE100</f>
        <v/>
      </c>
      <c r="W100" s="55">
        <f>AF100</f>
        <v/>
      </c>
      <c r="X100" s="56">
        <f>AG100</f>
        <v/>
      </c>
      <c r="Y100" s="10" t="n"/>
      <c r="Z100" s="64" t="inlineStr">
        <is>
          <t>Estonian</t>
        </is>
      </c>
      <c r="AA100" s="10" t="n"/>
      <c r="AB100">
        <f>IFERROR(IF(OR(B100=0,B100=""),0,1),0)</f>
        <v/>
      </c>
      <c r="AC100">
        <f>IFERROR(IF(OR(C100="S",C100="D"),IF(AND(C100="D",D100="F"),1,IF(AND(C100="S",D100="M"),1,0)),IF(OR(C100="W",C100="H"),IF(OR(AND(C100="W",D100="F"),AND(C100="H",D100="M")),1,),IF(OR(D100="M",D100="F"),1,0))),0)</f>
        <v/>
      </c>
      <c r="AD100">
        <f>IFERROR(IF(OR(C100="E",C100="W",C100="H"),1,IF(C100 = "S",IF(D100="M",1,0),IF(D100 = "F",1,0))),0)</f>
        <v/>
      </c>
      <c r="AE100">
        <f>IFERROR(IF(OR(E100="M",E100="S"),IF(E100="M",IF(OR(C100="S",C100 = "D"),0,1),IF(OR(C100="W",C100="H"),0,1)),0),0)</f>
        <v/>
      </c>
      <c r="AF100">
        <f>IF(G100="",-1,IF(AND(G100&lt;=TODAY(),ISNUMBER(DATE(YEAR(G100),MONTH(G100),DAY(G100)))),IF(AND(OR(C100="S",C100="D"),J100&gt;24),-1,1),-1))</f>
        <v/>
      </c>
      <c r="AG100">
        <f>IF(OR(I100="CAT 1",I100="CAT 2",I100="CAT 3",I100="CAT 4"),1,0)</f>
        <v/>
      </c>
      <c r="AH100">
        <f>PRODUCT(AF100:AG100)*AE100</f>
        <v/>
      </c>
    </row>
    <row r="101" customFormat="1" s="12">
      <c r="A101" s="42" t="n">
        <v>100</v>
      </c>
      <c r="B101" s="43" t="n"/>
      <c r="C101" s="44" t="n"/>
      <c r="D101" s="45" t="n"/>
      <c r="E101" s="45" t="n"/>
      <c r="F101" s="39" t="n"/>
      <c r="G101" s="3" t="n"/>
      <c r="H101" s="3" t="n"/>
      <c r="I101" s="44" t="n"/>
      <c r="J101" s="42">
        <f>IFERROR(IF(G101="","",ROUNDDOWN(IF($G101="","",(inception_date-$G101)/365.25),0)),0)</f>
        <v/>
      </c>
      <c r="K101" s="42">
        <f>IF(I101="","",IF($AM$3=1,IFERROR(IF(J101=FALSE,"",VLOOKUP(J101,$AJ$1:$AK$18,2,1)),""),IFERROR(IF(J101 = "FALSE","",VLOOKUP(J101,#REF!,2,TRUE)),"")))</f>
        <v/>
      </c>
      <c r="L101" s="42" t="n"/>
      <c r="M101" s="42" t="n"/>
      <c r="N101" s="42" t="n"/>
      <c r="O101" s="46">
        <f>IF(C101="","",IF(R101=1,"Yes","No"))</f>
        <v/>
      </c>
      <c r="P101" s="57">
        <f>IFERROR(IF(C101="","",IF(AND(Census!C101="E",Census!J101&gt;=18,Census!J101&lt;=65),"Yes","No")),"ERROR")</f>
        <v/>
      </c>
      <c r="Q101" s="58">
        <f>IFERROR(IF(C101="","",IF(AND(Census!C101="E",Census!J101&gt;=18,Census!J101&lt;=64),"Yes","No")),"ERROR")</f>
        <v/>
      </c>
      <c r="R101" s="59">
        <f>IF(OR(AB101&lt;&gt;1,AC101&lt;&gt;1,AD101&lt;&gt;1,AF101&lt;&gt;1,AE101&lt;&gt;1,AG101&lt;&gt;1),-1,1)</f>
        <v/>
      </c>
      <c r="S101" s="60">
        <f>AB101</f>
        <v/>
      </c>
      <c r="T101" s="61">
        <f>AC101</f>
        <v/>
      </c>
      <c r="U101" s="61">
        <f>AD101</f>
        <v/>
      </c>
      <c r="V101" s="61">
        <f>AE101</f>
        <v/>
      </c>
      <c r="W101" s="61">
        <f>AF101</f>
        <v/>
      </c>
      <c r="X101" s="62">
        <f>AG101</f>
        <v/>
      </c>
      <c r="Y101" s="10" t="n"/>
      <c r="Z101" s="64" t="inlineStr">
        <is>
          <t>Ethiopian</t>
        </is>
      </c>
      <c r="AA101" s="10" t="n"/>
      <c r="AB101">
        <f>IFERROR(IF(OR(B101=0,B101=""),0,1),0)</f>
        <v/>
      </c>
      <c r="AC101">
        <f>IFERROR(IF(OR(C101="S",C101="D"),IF(AND(C101="D",D101="F"),1,IF(AND(C101="S",D101="M"),1,0)),IF(OR(C101="W",C101="H"),IF(OR(AND(C101="W",D101="F"),AND(C101="H",D101="M")),1,),IF(OR(D101="M",D101="F"),1,0))),0)</f>
        <v/>
      </c>
      <c r="AD101">
        <f>IFERROR(IF(OR(C101="E",C101="W",C101="H"),1,IF(C101 = "S",IF(D101="M",1,0),IF(D101 = "F",1,0))),0)</f>
        <v/>
      </c>
      <c r="AE101">
        <f>IFERROR(IF(OR(E101="M",E101="S"),IF(E101="M",IF(OR(C101="S",C101 = "D"),0,1),IF(OR(C101="W",C101="H"),0,1)),0),0)</f>
        <v/>
      </c>
      <c r="AF101">
        <f>IF(G101="",-1,IF(AND(G101&lt;=TODAY(),ISNUMBER(DATE(YEAR(G101),MONTH(G101),DAY(G101)))),IF(AND(OR(C101="S",C101="D"),J101&gt;24),-1,1),-1))</f>
        <v/>
      </c>
      <c r="AG101">
        <f>IF(OR(I101="CAT 1",I101="CAT 2",I101="CAT 3",I101="CAT 4"),1,0)</f>
        <v/>
      </c>
      <c r="AH101">
        <f>PRODUCT(AF101:AG101)*AE101</f>
        <v/>
      </c>
    </row>
    <row r="102" customFormat="1" s="12">
      <c r="A102" s="37" t="n">
        <v>101</v>
      </c>
      <c r="B102" s="38" t="n"/>
      <c r="C102" s="39" t="n"/>
      <c r="D102" s="40" t="n"/>
      <c r="E102" s="40" t="n"/>
      <c r="F102" s="39" t="n"/>
      <c r="G102" s="2" t="n"/>
      <c r="H102" s="2" t="n"/>
      <c r="I102" s="39" t="n"/>
      <c r="J102" s="50">
        <f>IFERROR(IF(G102="","",ROUNDDOWN(IF($G102="","",(inception_date-$G102)/365.25),0)),0)</f>
        <v/>
      </c>
      <c r="K102" s="37">
        <f>IF(I102="","",IF($AM$3=1,IFERROR(IF(J102=FALSE,"",VLOOKUP(J102,$AJ$1:$AK$18,2,1)),""),IFERROR(IF(J102 = "FALSE","",VLOOKUP(J102,#REF!,2,TRUE)),"")))</f>
        <v/>
      </c>
      <c r="L102" s="37" t="n"/>
      <c r="M102" s="37" t="n"/>
      <c r="N102" s="37" t="n"/>
      <c r="O102" s="41">
        <f>IF(C102="","",IF(R102=1,"Yes","No"))</f>
        <v/>
      </c>
      <c r="P102" s="51">
        <f>IFERROR(IF(C102="","",IF(AND(Census!C102="E",Census!J102&gt;=18,Census!J102&lt;=65),"Yes","No")),"ERROR")</f>
        <v/>
      </c>
      <c r="Q102" s="52">
        <f>IFERROR(IF(C102="","",IF(AND(Census!C102="E",Census!J102&gt;=18,Census!J102&lt;=64),"Yes","No")),"ERROR")</f>
        <v/>
      </c>
      <c r="R102" s="53">
        <f>IF(OR(AB102&lt;&gt;1,AC102&lt;&gt;1,AD102&lt;&gt;1,AF102&lt;&gt;1,AE102&lt;&gt;1,AG102&lt;&gt;1),-1,1)</f>
        <v/>
      </c>
      <c r="S102" s="54">
        <f>AB102</f>
        <v/>
      </c>
      <c r="T102" s="55">
        <f>AC102</f>
        <v/>
      </c>
      <c r="U102" s="55">
        <f>AD102</f>
        <v/>
      </c>
      <c r="V102" s="55">
        <f>AE102</f>
        <v/>
      </c>
      <c r="W102" s="55">
        <f>AF102</f>
        <v/>
      </c>
      <c r="X102" s="56">
        <f>AG102</f>
        <v/>
      </c>
      <c r="Y102" s="10" t="n"/>
      <c r="Z102" s="64" t="inlineStr">
        <is>
          <t>Europe</t>
        </is>
      </c>
      <c r="AA102" s="10" t="n"/>
      <c r="AB102">
        <f>IFERROR(IF(OR(B102=0,B102=""),0,1),0)</f>
        <v/>
      </c>
      <c r="AC102">
        <f>IFERROR(IF(OR(C102="S",C102="D"),IF(AND(C102="D",D102="F"),1,IF(AND(C102="S",D102="M"),1,0)),IF(OR(C102="W",C102="H"),IF(OR(AND(C102="W",D102="F"),AND(C102="H",D102="M")),1,),IF(OR(D102="M",D102="F"),1,0))),0)</f>
        <v/>
      </c>
      <c r="AD102">
        <f>IFERROR(IF(OR(C102="E",C102="W",C102="H"),1,IF(C102 = "S",IF(D102="M",1,0),IF(D102 = "F",1,0))),0)</f>
        <v/>
      </c>
      <c r="AE102">
        <f>IFERROR(IF(OR(E102="M",E102="S"),IF(E102="M",IF(OR(C102="S",C102 = "D"),0,1),IF(OR(C102="W",C102="H"),0,1)),0),0)</f>
        <v/>
      </c>
      <c r="AF102">
        <f>IF(G102="",-1,IF(AND(G102&lt;=TODAY(),ISNUMBER(DATE(YEAR(G102),MONTH(G102),DAY(G102)))),IF(AND(OR(C102="S",C102="D"),J102&gt;24),-1,1),-1))</f>
        <v/>
      </c>
      <c r="AG102">
        <f>IF(OR(I102="CAT 1",I102="CAT 2",I102="CAT 3",I102="CAT 4"),1,0)</f>
        <v/>
      </c>
      <c r="AH102">
        <f>PRODUCT(AF102:AG102)*AE102</f>
        <v/>
      </c>
    </row>
    <row r="103" customFormat="1" s="12">
      <c r="A103" s="42" t="n">
        <v>102</v>
      </c>
      <c r="B103" s="43" t="n"/>
      <c r="C103" s="44" t="n"/>
      <c r="D103" s="45" t="n"/>
      <c r="E103" s="45" t="n"/>
      <c r="F103" s="39" t="n"/>
      <c r="G103" s="3" t="n"/>
      <c r="H103" s="3" t="n"/>
      <c r="I103" s="44" t="n"/>
      <c r="J103" s="42">
        <f>IFERROR(IF(G103="","",ROUNDDOWN(IF($G103="","",(inception_date-$G103)/365.25),0)),0)</f>
        <v/>
      </c>
      <c r="K103" s="42">
        <f>IF(I103="","",IF($AM$3=1,IFERROR(IF(J103=FALSE,"",VLOOKUP(J103,$AJ$1:$AK$18,2,1)),""),IFERROR(IF(J103 = "FALSE","",VLOOKUP(J103,#REF!,2,TRUE)),"")))</f>
        <v/>
      </c>
      <c r="L103" s="42" t="n"/>
      <c r="M103" s="42" t="n"/>
      <c r="N103" s="42" t="n"/>
      <c r="O103" s="46">
        <f>IF(C103="","",IF(R103=1,"Yes","No"))</f>
        <v/>
      </c>
      <c r="P103" s="57">
        <f>IFERROR(IF(C103="","",IF(AND(Census!C103="E",Census!J103&gt;=18,Census!J103&lt;=65),"Yes","No")),"ERROR")</f>
        <v/>
      </c>
      <c r="Q103" s="58">
        <f>IFERROR(IF(C103="","",IF(AND(Census!C103="E",Census!J103&gt;=18,Census!J103&lt;=64),"Yes","No")),"ERROR")</f>
        <v/>
      </c>
      <c r="R103" s="59">
        <f>IF(OR(AB103&lt;&gt;1,AC103&lt;&gt;1,AD103&lt;&gt;1,AF103&lt;&gt;1,AE103&lt;&gt;1,AG103&lt;&gt;1),-1,1)</f>
        <v/>
      </c>
      <c r="S103" s="60">
        <f>AB103</f>
        <v/>
      </c>
      <c r="T103" s="61">
        <f>AC103</f>
        <v/>
      </c>
      <c r="U103" s="61">
        <f>AD103</f>
        <v/>
      </c>
      <c r="V103" s="61">
        <f>AE103</f>
        <v/>
      </c>
      <c r="W103" s="61">
        <f>AF103</f>
        <v/>
      </c>
      <c r="X103" s="62">
        <f>AG103</f>
        <v/>
      </c>
      <c r="Y103" s="10" t="n"/>
      <c r="Z103" s="64" t="inlineStr">
        <is>
          <t>Falkland Islander</t>
        </is>
      </c>
      <c r="AA103" s="10" t="n"/>
      <c r="AB103">
        <f>IFERROR(IF(OR(B103=0,B103=""),0,1),0)</f>
        <v/>
      </c>
      <c r="AC103">
        <f>IFERROR(IF(OR(C103="S",C103="D"),IF(AND(C103="D",D103="F"),1,IF(AND(C103="S",D103="M"),1,0)),IF(OR(C103="W",C103="H"),IF(OR(AND(C103="W",D103="F"),AND(C103="H",D103="M")),1,),IF(OR(D103="M",D103="F"),1,0))),0)</f>
        <v/>
      </c>
      <c r="AD103">
        <f>IFERROR(IF(OR(C103="E",C103="W",C103="H"),1,IF(C103 = "S",IF(D103="M",1,0),IF(D103 = "F",1,0))),0)</f>
        <v/>
      </c>
      <c r="AE103">
        <f>IFERROR(IF(OR(E103="M",E103="S"),IF(E103="M",IF(OR(C103="S",C103 = "D"),0,1),IF(OR(C103="W",C103="H"),0,1)),0),0)</f>
        <v/>
      </c>
      <c r="AF103">
        <f>IF(G103="",-1,IF(AND(G103&lt;=TODAY(),ISNUMBER(DATE(YEAR(G103),MONTH(G103),DAY(G103)))),IF(AND(OR(C103="S",C103="D"),J103&gt;24),-1,1),-1))</f>
        <v/>
      </c>
      <c r="AG103">
        <f>IF(OR(I103="CAT 1",I103="CAT 2",I103="CAT 3",I103="CAT 4"),1,0)</f>
        <v/>
      </c>
      <c r="AH103">
        <f>PRODUCT(AF103:AG103)*AE103</f>
        <v/>
      </c>
    </row>
    <row r="104" customFormat="1" s="12">
      <c r="A104" s="37" t="n">
        <v>103</v>
      </c>
      <c r="B104" s="38" t="n"/>
      <c r="C104" s="39" t="n"/>
      <c r="D104" s="40" t="n"/>
      <c r="E104" s="40" t="n"/>
      <c r="F104" s="39" t="n"/>
      <c r="G104" s="2" t="n"/>
      <c r="H104" s="2" t="n"/>
      <c r="I104" s="39" t="n"/>
      <c r="J104" s="50">
        <f>IFERROR(IF(G104="","",ROUNDDOWN(IF($G104="","",(inception_date-$G104)/365.25),0)),0)</f>
        <v/>
      </c>
      <c r="K104" s="37">
        <f>IF(I104="","",IF($AM$3=1,IFERROR(IF(J104=FALSE,"",VLOOKUP(J104,$AJ$1:$AK$18,2,1)),""),IFERROR(IF(J104 = "FALSE","",VLOOKUP(J104,#REF!,2,TRUE)),"")))</f>
        <v/>
      </c>
      <c r="L104" s="37" t="n"/>
      <c r="M104" s="37" t="n"/>
      <c r="N104" s="37" t="n"/>
      <c r="O104" s="41">
        <f>IF(C104="","",IF(R104=1,"Yes","No"))</f>
        <v/>
      </c>
      <c r="P104" s="51">
        <f>IFERROR(IF(C104="","",IF(AND(Census!C104="E",Census!J104&gt;=18,Census!J104&lt;=65),"Yes","No")),"ERROR")</f>
        <v/>
      </c>
      <c r="Q104" s="52">
        <f>IFERROR(IF(C104="","",IF(AND(Census!C104="E",Census!J104&gt;=18,Census!J104&lt;=64),"Yes","No")),"ERROR")</f>
        <v/>
      </c>
      <c r="R104" s="53">
        <f>IF(OR(AB104&lt;&gt;1,AC104&lt;&gt;1,AD104&lt;&gt;1,AF104&lt;&gt;1,AE104&lt;&gt;1,AG104&lt;&gt;1),-1,1)</f>
        <v/>
      </c>
      <c r="S104" s="54">
        <f>AB104</f>
        <v/>
      </c>
      <c r="T104" s="55">
        <f>AC104</f>
        <v/>
      </c>
      <c r="U104" s="55">
        <f>AD104</f>
        <v/>
      </c>
      <c r="V104" s="55">
        <f>AE104</f>
        <v/>
      </c>
      <c r="W104" s="55">
        <f>AF104</f>
        <v/>
      </c>
      <c r="X104" s="56">
        <f>AG104</f>
        <v/>
      </c>
      <c r="Y104" s="10" t="n"/>
      <c r="Z104" s="64" t="inlineStr">
        <is>
          <t>Faroese</t>
        </is>
      </c>
      <c r="AA104" s="10" t="n"/>
      <c r="AB104">
        <f>IFERROR(IF(OR(B104=0,B104=""),0,1),0)</f>
        <v/>
      </c>
      <c r="AC104">
        <f>IFERROR(IF(OR(C104="S",C104="D"),IF(AND(C104="D",D104="F"),1,IF(AND(C104="S",D104="M"),1,0)),IF(OR(C104="W",C104="H"),IF(OR(AND(C104="W",D104="F"),AND(C104="H",D104="M")),1,),IF(OR(D104="M",D104="F"),1,0))),0)</f>
        <v/>
      </c>
      <c r="AD104">
        <f>IFERROR(IF(OR(C104="E",C104="W",C104="H"),1,IF(C104 = "S",IF(D104="M",1,0),IF(D104 = "F",1,0))),0)</f>
        <v/>
      </c>
      <c r="AE104">
        <f>IFERROR(IF(OR(E104="M",E104="S"),IF(E104="M",IF(OR(C104="S",C104 = "D"),0,1),IF(OR(C104="W",C104="H"),0,1)),0),0)</f>
        <v/>
      </c>
      <c r="AF104">
        <f>IF(G104="",-1,IF(AND(G104&lt;=TODAY(),ISNUMBER(DATE(YEAR(G104),MONTH(G104),DAY(G104)))),IF(AND(OR(C104="S",C104="D"),J104&gt;24),-1,1),-1))</f>
        <v/>
      </c>
      <c r="AG104">
        <f>IF(OR(I104="CAT 1",I104="CAT 2",I104="CAT 3",I104="CAT 4"),1,0)</f>
        <v/>
      </c>
      <c r="AH104">
        <f>PRODUCT(AF104:AG104)*AE104</f>
        <v/>
      </c>
    </row>
    <row r="105" customFormat="1" s="12">
      <c r="A105" s="42" t="n">
        <v>104</v>
      </c>
      <c r="B105" s="43" t="n"/>
      <c r="C105" s="44" t="n"/>
      <c r="D105" s="45" t="n"/>
      <c r="E105" s="45" t="n"/>
      <c r="F105" s="39" t="n"/>
      <c r="G105" s="3" t="n"/>
      <c r="H105" s="3" t="n"/>
      <c r="I105" s="44" t="n"/>
      <c r="J105" s="42">
        <f>IFERROR(IF(G105="","",ROUNDDOWN(IF($G105="","",(inception_date-$G105)/365.25),0)),0)</f>
        <v/>
      </c>
      <c r="K105" s="42">
        <f>IF(I105="","",IF($AM$3=1,IFERROR(IF(J105=FALSE,"",VLOOKUP(J105,$AJ$1:$AK$18,2,1)),""),IFERROR(IF(J105 = "FALSE","",VLOOKUP(J105,#REF!,2,TRUE)),"")))</f>
        <v/>
      </c>
      <c r="L105" s="42" t="n"/>
      <c r="M105" s="42" t="n"/>
      <c r="N105" s="42" t="n"/>
      <c r="O105" s="46">
        <f>IF(C105="","",IF(R105=1,"Yes","No"))</f>
        <v/>
      </c>
      <c r="P105" s="57">
        <f>IFERROR(IF(C105="","",IF(AND(Census!C105="E",Census!J105&gt;=18,Census!J105&lt;=65),"Yes","No")),"ERROR")</f>
        <v/>
      </c>
      <c r="Q105" s="58">
        <f>IFERROR(IF(C105="","",IF(AND(Census!C105="E",Census!J105&gt;=18,Census!J105&lt;=64),"Yes","No")),"ERROR")</f>
        <v/>
      </c>
      <c r="R105" s="59">
        <f>IF(OR(AB105&lt;&gt;1,AC105&lt;&gt;1,AD105&lt;&gt;1,AF105&lt;&gt;1,AE105&lt;&gt;1,AG105&lt;&gt;1),-1,1)</f>
        <v/>
      </c>
      <c r="S105" s="60">
        <f>AB105</f>
        <v/>
      </c>
      <c r="T105" s="61">
        <f>AC105</f>
        <v/>
      </c>
      <c r="U105" s="61">
        <f>AD105</f>
        <v/>
      </c>
      <c r="V105" s="61">
        <f>AE105</f>
        <v/>
      </c>
      <c r="W105" s="61">
        <f>AF105</f>
        <v/>
      </c>
      <c r="X105" s="62">
        <f>AG105</f>
        <v/>
      </c>
      <c r="Y105" s="10" t="n"/>
      <c r="Z105" s="64" t="inlineStr">
        <is>
          <t>Fijian</t>
        </is>
      </c>
      <c r="AA105" s="10" t="n"/>
      <c r="AB105">
        <f>IFERROR(IF(OR(B105=0,B105=""),0,1),0)</f>
        <v/>
      </c>
      <c r="AC105">
        <f>IFERROR(IF(OR(C105="S",C105="D"),IF(AND(C105="D",D105="F"),1,IF(AND(C105="S",D105="M"),1,0)),IF(OR(C105="W",C105="H"),IF(OR(AND(C105="W",D105="F"),AND(C105="H",D105="M")),1,),IF(OR(D105="M",D105="F"),1,0))),0)</f>
        <v/>
      </c>
      <c r="AD105">
        <f>IFERROR(IF(OR(C105="E",C105="W",C105="H"),1,IF(C105 = "S",IF(D105="M",1,0),IF(D105 = "F",1,0))),0)</f>
        <v/>
      </c>
      <c r="AE105">
        <f>IFERROR(IF(OR(E105="M",E105="S"),IF(E105="M",IF(OR(C105="S",C105 = "D"),0,1),IF(OR(C105="W",C105="H"),0,1)),0),0)</f>
        <v/>
      </c>
      <c r="AF105">
        <f>IF(G105="",-1,IF(AND(G105&lt;=TODAY(),ISNUMBER(DATE(YEAR(G105),MONTH(G105),DAY(G105)))),IF(AND(OR(C105="S",C105="D"),J105&gt;24),-1,1),-1))</f>
        <v/>
      </c>
      <c r="AG105">
        <f>IF(OR(I105="CAT 1",I105="CAT 2",I105="CAT 3",I105="CAT 4"),1,0)</f>
        <v/>
      </c>
      <c r="AH105">
        <f>PRODUCT(AF105:AG105)*AE105</f>
        <v/>
      </c>
    </row>
    <row r="106" customFormat="1" s="12">
      <c r="A106" s="37" t="n">
        <v>105</v>
      </c>
      <c r="B106" s="38" t="n"/>
      <c r="C106" s="39" t="n"/>
      <c r="D106" s="40" t="n"/>
      <c r="E106" s="40" t="n"/>
      <c r="F106" s="39" t="n"/>
      <c r="G106" s="2" t="n"/>
      <c r="H106" s="2" t="n"/>
      <c r="I106" s="39" t="n"/>
      <c r="J106" s="50">
        <f>IFERROR(IF(G106="","",ROUNDDOWN(IF($G106="","",(inception_date-$G106)/365.25),0)),0)</f>
        <v/>
      </c>
      <c r="K106" s="37">
        <f>IF(I106="","",IF($AM$3=1,IFERROR(IF(J106=FALSE,"",VLOOKUP(J106,$AJ$1:$AK$18,2,1)),""),IFERROR(IF(J106 = "FALSE","",VLOOKUP(J106,#REF!,2,TRUE)),"")))</f>
        <v/>
      </c>
      <c r="L106" s="37" t="n"/>
      <c r="M106" s="37" t="n"/>
      <c r="N106" s="37" t="n"/>
      <c r="O106" s="41">
        <f>IF(C106="","",IF(R106=1,"Yes","No"))</f>
        <v/>
      </c>
      <c r="P106" s="51">
        <f>IFERROR(IF(C106="","",IF(AND(Census!C106="E",Census!J106&gt;=18,Census!J106&lt;=65),"Yes","No")),"ERROR")</f>
        <v/>
      </c>
      <c r="Q106" s="52">
        <f>IFERROR(IF(C106="","",IF(AND(Census!C106="E",Census!J106&gt;=18,Census!J106&lt;=64),"Yes","No")),"ERROR")</f>
        <v/>
      </c>
      <c r="R106" s="53">
        <f>IF(OR(AB106&lt;&gt;1,AC106&lt;&gt;1,AD106&lt;&gt;1,AF106&lt;&gt;1,AE106&lt;&gt;1,AG106&lt;&gt;1),-1,1)</f>
        <v/>
      </c>
      <c r="S106" s="54">
        <f>AB106</f>
        <v/>
      </c>
      <c r="T106" s="55">
        <f>AC106</f>
        <v/>
      </c>
      <c r="U106" s="55">
        <f>AD106</f>
        <v/>
      </c>
      <c r="V106" s="55">
        <f>AE106</f>
        <v/>
      </c>
      <c r="W106" s="55">
        <f>AF106</f>
        <v/>
      </c>
      <c r="X106" s="56">
        <f>AG106</f>
        <v/>
      </c>
      <c r="Y106" s="10" t="n"/>
      <c r="Z106" s="64" t="inlineStr">
        <is>
          <t>Finnish</t>
        </is>
      </c>
      <c r="AA106" s="10" t="n"/>
      <c r="AB106">
        <f>IFERROR(IF(OR(B106=0,B106=""),0,1),0)</f>
        <v/>
      </c>
      <c r="AC106">
        <f>IFERROR(IF(OR(C106="S",C106="D"),IF(AND(C106="D",D106="F"),1,IF(AND(C106="S",D106="M"),1,0)),IF(OR(C106="W",C106="H"),IF(OR(AND(C106="W",D106="F"),AND(C106="H",D106="M")),1,),IF(OR(D106="M",D106="F"),1,0))),0)</f>
        <v/>
      </c>
      <c r="AD106">
        <f>IFERROR(IF(OR(C106="E",C106="W",C106="H"),1,IF(C106 = "S",IF(D106="M",1,0),IF(D106 = "F",1,0))),0)</f>
        <v/>
      </c>
      <c r="AE106">
        <f>IFERROR(IF(OR(E106="M",E106="S"),IF(E106="M",IF(OR(C106="S",C106 = "D"),0,1),IF(OR(C106="W",C106="H"),0,1)),0),0)</f>
        <v/>
      </c>
      <c r="AF106">
        <f>IF(G106="",-1,IF(AND(G106&lt;=TODAY(),ISNUMBER(DATE(YEAR(G106),MONTH(G106),DAY(G106)))),IF(AND(OR(C106="S",C106="D"),J106&gt;24),-1,1),-1))</f>
        <v/>
      </c>
      <c r="AG106">
        <f>IF(OR(I106="CAT 1",I106="CAT 2",I106="CAT 3",I106="CAT 4"),1,0)</f>
        <v/>
      </c>
      <c r="AH106">
        <f>PRODUCT(AF106:AG106)*AE106</f>
        <v/>
      </c>
    </row>
    <row r="107" customFormat="1" s="12">
      <c r="A107" s="42" t="n">
        <v>106</v>
      </c>
      <c r="B107" s="43" t="n"/>
      <c r="C107" s="44" t="n"/>
      <c r="D107" s="45" t="n"/>
      <c r="E107" s="45" t="n"/>
      <c r="F107" s="39" t="n"/>
      <c r="G107" s="3" t="n"/>
      <c r="H107" s="3" t="n"/>
      <c r="I107" s="44" t="n"/>
      <c r="J107" s="42">
        <f>IFERROR(IF(G107="","",ROUNDDOWN(IF($G107="","",(inception_date-$G107)/365.25),0)),0)</f>
        <v/>
      </c>
      <c r="K107" s="42">
        <f>IF(I107="","",IF($AM$3=1,IFERROR(IF(J107=FALSE,"",VLOOKUP(J107,$AJ$1:$AK$18,2,1)),""),IFERROR(IF(J107 = "FALSE","",VLOOKUP(J107,#REF!,2,TRUE)),"")))</f>
        <v/>
      </c>
      <c r="L107" s="42" t="n"/>
      <c r="M107" s="42" t="n"/>
      <c r="N107" s="42" t="n"/>
      <c r="O107" s="46">
        <f>IF(C107="","",IF(R107=1,"Yes","No"))</f>
        <v/>
      </c>
      <c r="P107" s="57">
        <f>IFERROR(IF(C107="","",IF(AND(Census!C107="E",Census!J107&gt;=18,Census!J107&lt;=65),"Yes","No")),"ERROR")</f>
        <v/>
      </c>
      <c r="Q107" s="58">
        <f>IFERROR(IF(C107="","",IF(AND(Census!C107="E",Census!J107&gt;=18,Census!J107&lt;=64),"Yes","No")),"ERROR")</f>
        <v/>
      </c>
      <c r="R107" s="59">
        <f>IF(OR(AB107&lt;&gt;1,AC107&lt;&gt;1,AD107&lt;&gt;1,AF107&lt;&gt;1,AE107&lt;&gt;1,AG107&lt;&gt;1),-1,1)</f>
        <v/>
      </c>
      <c r="S107" s="60">
        <f>AB107</f>
        <v/>
      </c>
      <c r="T107" s="61">
        <f>AC107</f>
        <v/>
      </c>
      <c r="U107" s="61">
        <f>AD107</f>
        <v/>
      </c>
      <c r="V107" s="61">
        <f>AE107</f>
        <v/>
      </c>
      <c r="W107" s="61">
        <f>AF107</f>
        <v/>
      </c>
      <c r="X107" s="62">
        <f>AG107</f>
        <v/>
      </c>
      <c r="Y107" s="10" t="n"/>
      <c r="Z107" s="64" t="inlineStr">
        <is>
          <t>French</t>
        </is>
      </c>
      <c r="AA107" s="10" t="n"/>
      <c r="AB107">
        <f>IFERROR(IF(OR(B107=0,B107=""),0,1),0)</f>
        <v/>
      </c>
      <c r="AC107">
        <f>IFERROR(IF(OR(C107="S",C107="D"),IF(AND(C107="D",D107="F"),1,IF(AND(C107="S",D107="M"),1,0)),IF(OR(C107="W",C107="H"),IF(OR(AND(C107="W",D107="F"),AND(C107="H",D107="M")),1,),IF(OR(D107="M",D107="F"),1,0))),0)</f>
        <v/>
      </c>
      <c r="AD107">
        <f>IFERROR(IF(OR(C107="E",C107="W",C107="H"),1,IF(C107 = "S",IF(D107="M",1,0),IF(D107 = "F",1,0))),0)</f>
        <v/>
      </c>
      <c r="AE107">
        <f>IFERROR(IF(OR(E107="M",E107="S"),IF(E107="M",IF(OR(C107="S",C107 = "D"),0,1),IF(OR(C107="W",C107="H"),0,1)),0),0)</f>
        <v/>
      </c>
      <c r="AF107">
        <f>IF(G107="",-1,IF(AND(G107&lt;=TODAY(),ISNUMBER(DATE(YEAR(G107),MONTH(G107),DAY(G107)))),IF(AND(OR(C107="S",C107="D"),J107&gt;24),-1,1),-1))</f>
        <v/>
      </c>
      <c r="AG107">
        <f>IF(OR(I107="CAT 1",I107="CAT 2",I107="CAT 3",I107="CAT 4"),1,0)</f>
        <v/>
      </c>
      <c r="AH107">
        <f>PRODUCT(AF107:AG107)*AE107</f>
        <v/>
      </c>
    </row>
    <row r="108" customFormat="1" s="12">
      <c r="A108" s="37" t="n">
        <v>107</v>
      </c>
      <c r="B108" s="38" t="n"/>
      <c r="C108" s="39" t="n"/>
      <c r="D108" s="40" t="n"/>
      <c r="E108" s="40" t="n"/>
      <c r="F108" s="39" t="n"/>
      <c r="G108" s="2" t="n"/>
      <c r="H108" s="2" t="n"/>
      <c r="I108" s="39" t="n"/>
      <c r="J108" s="50">
        <f>IFERROR(IF(G108="","",ROUNDDOWN(IF($G108="","",(inception_date-$G108)/365.25),0)),0)</f>
        <v/>
      </c>
      <c r="K108" s="37">
        <f>IF(I108="","",IF($AM$3=1,IFERROR(IF(J108=FALSE,"",VLOOKUP(J108,$AJ$1:$AK$18,2,1)),""),IFERROR(IF(J108 = "FALSE","",VLOOKUP(J108,#REF!,2,TRUE)),"")))</f>
        <v/>
      </c>
      <c r="L108" s="37" t="n"/>
      <c r="M108" s="37" t="n"/>
      <c r="N108" s="37" t="n"/>
      <c r="O108" s="41">
        <f>IF(C108="","",IF(R108=1,"Yes","No"))</f>
        <v/>
      </c>
      <c r="P108" s="51">
        <f>IFERROR(IF(C108="","",IF(AND(Census!C108="E",Census!J108&gt;=18,Census!J108&lt;=65),"Yes","No")),"ERROR")</f>
        <v/>
      </c>
      <c r="Q108" s="52">
        <f>IFERROR(IF(C108="","",IF(AND(Census!C108="E",Census!J108&gt;=18,Census!J108&lt;=64),"Yes","No")),"ERROR")</f>
        <v/>
      </c>
      <c r="R108" s="53">
        <f>IF(OR(AB108&lt;&gt;1,AC108&lt;&gt;1,AD108&lt;&gt;1,AF108&lt;&gt;1,AE108&lt;&gt;1,AG108&lt;&gt;1),-1,1)</f>
        <v/>
      </c>
      <c r="S108" s="54">
        <f>AB108</f>
        <v/>
      </c>
      <c r="T108" s="55">
        <f>AC108</f>
        <v/>
      </c>
      <c r="U108" s="55">
        <f>AD108</f>
        <v/>
      </c>
      <c r="V108" s="55">
        <f>AE108</f>
        <v/>
      </c>
      <c r="W108" s="55">
        <f>AF108</f>
        <v/>
      </c>
      <c r="X108" s="56">
        <f>AG108</f>
        <v/>
      </c>
      <c r="Y108" s="10" t="n"/>
      <c r="Z108" s="64" t="inlineStr">
        <is>
          <t>French Polynesia</t>
        </is>
      </c>
      <c r="AA108" s="10" t="n"/>
      <c r="AB108">
        <f>IFERROR(IF(OR(B108=0,B108=""),0,1),0)</f>
        <v/>
      </c>
      <c r="AC108">
        <f>IFERROR(IF(OR(C108="S",C108="D"),IF(AND(C108="D",D108="F"),1,IF(AND(C108="S",D108="M"),1,0)),IF(OR(C108="W",C108="H"),IF(OR(AND(C108="W",D108="F"),AND(C108="H",D108="M")),1,),IF(OR(D108="M",D108="F"),1,0))),0)</f>
        <v/>
      </c>
      <c r="AD108">
        <f>IFERROR(IF(OR(C108="E",C108="W",C108="H"),1,IF(C108 = "S",IF(D108="M",1,0),IF(D108 = "F",1,0))),0)</f>
        <v/>
      </c>
      <c r="AE108">
        <f>IFERROR(IF(OR(E108="M",E108="S"),IF(E108="M",IF(OR(C108="S",C108 = "D"),0,1),IF(OR(C108="W",C108="H"),0,1)),0),0)</f>
        <v/>
      </c>
      <c r="AF108">
        <f>IF(G108="",-1,IF(AND(G108&lt;=TODAY(),ISNUMBER(DATE(YEAR(G108),MONTH(G108),DAY(G108)))),IF(AND(OR(C108="S",C108="D"),J108&gt;24),-1,1),-1))</f>
        <v/>
      </c>
      <c r="AG108">
        <f>IF(OR(I108="CAT 1",I108="CAT 2",I108="CAT 3",I108="CAT 4"),1,0)</f>
        <v/>
      </c>
      <c r="AH108">
        <f>PRODUCT(AF108:AG108)*AE108</f>
        <v/>
      </c>
    </row>
    <row r="109" customFormat="1" s="12">
      <c r="A109" s="42" t="n">
        <v>108</v>
      </c>
      <c r="B109" s="43" t="n"/>
      <c r="C109" s="44" t="n"/>
      <c r="D109" s="45" t="n"/>
      <c r="E109" s="45" t="n"/>
      <c r="F109" s="39" t="n"/>
      <c r="G109" s="3" t="n"/>
      <c r="H109" s="3" t="n"/>
      <c r="I109" s="44" t="n"/>
      <c r="J109" s="42">
        <f>IFERROR(IF(G109="","",ROUNDDOWN(IF($G109="","",(inception_date-$G109)/365.25),0)),0)</f>
        <v/>
      </c>
      <c r="K109" s="42">
        <f>IF(I109="","",IF($AM$3=1,IFERROR(IF(J109=FALSE,"",VLOOKUP(J109,$AJ$1:$AK$18,2,1)),""),IFERROR(IF(J109 = "FALSE","",VLOOKUP(J109,#REF!,2,TRUE)),"")))</f>
        <v/>
      </c>
      <c r="L109" s="42" t="n"/>
      <c r="M109" s="42" t="n"/>
      <c r="N109" s="42" t="n"/>
      <c r="O109" s="46">
        <f>IF(C109="","",IF(R109=1,"Yes","No"))</f>
        <v/>
      </c>
      <c r="P109" s="57">
        <f>IFERROR(IF(C109="","",IF(AND(Census!C109="E",Census!J109&gt;=18,Census!J109&lt;=65),"Yes","No")),"ERROR")</f>
        <v/>
      </c>
      <c r="Q109" s="58">
        <f>IFERROR(IF(C109="","",IF(AND(Census!C109="E",Census!J109&gt;=18,Census!J109&lt;=64),"Yes","No")),"ERROR")</f>
        <v/>
      </c>
      <c r="R109" s="59">
        <f>IF(OR(AB109&lt;&gt;1,AC109&lt;&gt;1,AD109&lt;&gt;1,AF109&lt;&gt;1,AE109&lt;&gt;1,AG109&lt;&gt;1),-1,1)</f>
        <v/>
      </c>
      <c r="S109" s="60">
        <f>AB109</f>
        <v/>
      </c>
      <c r="T109" s="61">
        <f>AC109</f>
        <v/>
      </c>
      <c r="U109" s="61">
        <f>AD109</f>
        <v/>
      </c>
      <c r="V109" s="61">
        <f>AE109</f>
        <v/>
      </c>
      <c r="W109" s="61">
        <f>AF109</f>
        <v/>
      </c>
      <c r="X109" s="62">
        <f>AG109</f>
        <v/>
      </c>
      <c r="Y109" s="10" t="n"/>
      <c r="Z109" s="64" t="inlineStr">
        <is>
          <t>French Southern Territories</t>
        </is>
      </c>
      <c r="AA109" s="10" t="n"/>
      <c r="AB109">
        <f>IFERROR(IF(OR(B109=0,B109=""),0,1),0)</f>
        <v/>
      </c>
      <c r="AC109">
        <f>IFERROR(IF(OR(C109="S",C109="D"),IF(AND(C109="D",D109="F"),1,IF(AND(C109="S",D109="M"),1,0)),IF(OR(C109="W",C109="H"),IF(OR(AND(C109="W",D109="F"),AND(C109="H",D109="M")),1,),IF(OR(D109="M",D109="F"),1,0))),0)</f>
        <v/>
      </c>
      <c r="AD109">
        <f>IFERROR(IF(OR(C109="E",C109="W",C109="H"),1,IF(C109 = "S",IF(D109="M",1,0),IF(D109 = "F",1,0))),0)</f>
        <v/>
      </c>
      <c r="AE109">
        <f>IFERROR(IF(OR(E109="M",E109="S"),IF(E109="M",IF(OR(C109="S",C109 = "D"),0,1),IF(OR(C109="W",C109="H"),0,1)),0),0)</f>
        <v/>
      </c>
      <c r="AF109">
        <f>IF(G109="",-1,IF(AND(G109&lt;=TODAY(),ISNUMBER(DATE(YEAR(G109),MONTH(G109),DAY(G109)))),IF(AND(OR(C109="S",C109="D"),J109&gt;24),-1,1),-1))</f>
        <v/>
      </c>
      <c r="AG109">
        <f>IF(OR(I109="CAT 1",I109="CAT 2",I109="CAT 3",I109="CAT 4"),1,0)</f>
        <v/>
      </c>
      <c r="AH109">
        <f>PRODUCT(AF109:AG109)*AE109</f>
        <v/>
      </c>
    </row>
    <row r="110" customFormat="1" s="12">
      <c r="A110" s="37" t="n">
        <v>109</v>
      </c>
      <c r="B110" s="38" t="n"/>
      <c r="C110" s="39" t="n"/>
      <c r="D110" s="40" t="n"/>
      <c r="E110" s="40" t="n"/>
      <c r="F110" s="39" t="n"/>
      <c r="G110" s="2" t="n"/>
      <c r="H110" s="2" t="n"/>
      <c r="I110" s="39" t="n"/>
      <c r="J110" s="50">
        <f>IFERROR(IF(G110="","",ROUNDDOWN(IF($G110="","",(inception_date-$G110)/365.25),0)),0)</f>
        <v/>
      </c>
      <c r="K110" s="37">
        <f>IF(I110="","",IF($AM$3=1,IFERROR(IF(J110=FALSE,"",VLOOKUP(J110,$AJ$1:$AK$18,2,1)),""),IFERROR(IF(J110 = "FALSE","",VLOOKUP(J110,#REF!,2,TRUE)),"")))</f>
        <v/>
      </c>
      <c r="L110" s="37" t="n"/>
      <c r="M110" s="37" t="n"/>
      <c r="N110" s="37" t="n"/>
      <c r="O110" s="41">
        <f>IF(C110="","",IF(R110=1,"Yes","No"))</f>
        <v/>
      </c>
      <c r="P110" s="51">
        <f>IFERROR(IF(C110="","",IF(AND(Census!C110="E",Census!J110&gt;=18,Census!J110&lt;=65),"Yes","No")),"ERROR")</f>
        <v/>
      </c>
      <c r="Q110" s="52">
        <f>IFERROR(IF(C110="","",IF(AND(Census!C110="E",Census!J110&gt;=18,Census!J110&lt;=64),"Yes","No")),"ERROR")</f>
        <v/>
      </c>
      <c r="R110" s="53">
        <f>IF(OR(AB110&lt;&gt;1,AC110&lt;&gt;1,AD110&lt;&gt;1,AF110&lt;&gt;1,AE110&lt;&gt;1,AG110&lt;&gt;1),-1,1)</f>
        <v/>
      </c>
      <c r="S110" s="54">
        <f>AB110</f>
        <v/>
      </c>
      <c r="T110" s="55">
        <f>AC110</f>
        <v/>
      </c>
      <c r="U110" s="55">
        <f>AD110</f>
        <v/>
      </c>
      <c r="V110" s="55">
        <f>AE110</f>
        <v/>
      </c>
      <c r="W110" s="55">
        <f>AF110</f>
        <v/>
      </c>
      <c r="X110" s="56">
        <f>AG110</f>
        <v/>
      </c>
      <c r="Y110" s="10" t="n"/>
      <c r="Z110" s="64" t="inlineStr">
        <is>
          <t>Gabonese</t>
        </is>
      </c>
      <c r="AA110" s="10" t="n"/>
      <c r="AB110">
        <f>IFERROR(IF(OR(B110=0,B110=""),0,1),0)</f>
        <v/>
      </c>
      <c r="AC110">
        <f>IFERROR(IF(OR(C110="S",C110="D"),IF(AND(C110="D",D110="F"),1,IF(AND(C110="S",D110="M"),1,0)),IF(OR(C110="W",C110="H"),IF(OR(AND(C110="W",D110="F"),AND(C110="H",D110="M")),1,),IF(OR(D110="M",D110="F"),1,0))),0)</f>
        <v/>
      </c>
      <c r="AD110">
        <f>IFERROR(IF(OR(C110="E",C110="W",C110="H"),1,IF(C110 = "S",IF(D110="M",1,0),IF(D110 = "F",1,0))),0)</f>
        <v/>
      </c>
      <c r="AE110">
        <f>IFERROR(IF(OR(E110="M",E110="S"),IF(E110="M",IF(OR(C110="S",C110 = "D"),0,1),IF(OR(C110="W",C110="H"),0,1)),0),0)</f>
        <v/>
      </c>
      <c r="AF110">
        <f>IF(G110="",-1,IF(AND(G110&lt;=TODAY(),ISNUMBER(DATE(YEAR(G110),MONTH(G110),DAY(G110)))),IF(AND(OR(C110="S",C110="D"),J110&gt;24),-1,1),-1))</f>
        <v/>
      </c>
      <c r="AG110">
        <f>IF(OR(I110="CAT 1",I110="CAT 2",I110="CAT 3",I110="CAT 4"),1,0)</f>
        <v/>
      </c>
      <c r="AH110">
        <f>PRODUCT(AF110:AG110)*AE110</f>
        <v/>
      </c>
    </row>
    <row r="111" customFormat="1" s="12">
      <c r="A111" s="42" t="n">
        <v>110</v>
      </c>
      <c r="B111" s="43" t="n"/>
      <c r="C111" s="44" t="n"/>
      <c r="D111" s="45" t="n"/>
      <c r="E111" s="45" t="n"/>
      <c r="F111" s="39" t="n"/>
      <c r="G111" s="3" t="n"/>
      <c r="H111" s="3" t="n"/>
      <c r="I111" s="44" t="n"/>
      <c r="J111" s="42">
        <f>IFERROR(IF(G111="","",ROUNDDOWN(IF($G111="","",(inception_date-$G111)/365.25),0)),0)</f>
        <v/>
      </c>
      <c r="K111" s="42">
        <f>IF(I111="","",IF($AM$3=1,IFERROR(IF(J111=FALSE,"",VLOOKUP(J111,$AJ$1:$AK$18,2,1)),""),IFERROR(IF(J111 = "FALSE","",VLOOKUP(J111,#REF!,2,TRUE)),"")))</f>
        <v/>
      </c>
      <c r="L111" s="42" t="n"/>
      <c r="M111" s="42" t="n"/>
      <c r="N111" s="42" t="n"/>
      <c r="O111" s="46">
        <f>IF(C111="","",IF(R111=1,"Yes","No"))</f>
        <v/>
      </c>
      <c r="P111" s="57">
        <f>IFERROR(IF(C111="","",IF(AND(Census!C111="E",Census!J111&gt;=18,Census!J111&lt;=65),"Yes","No")),"ERROR")</f>
        <v/>
      </c>
      <c r="Q111" s="58">
        <f>IFERROR(IF(C111="","",IF(AND(Census!C111="E",Census!J111&gt;=18,Census!J111&lt;=64),"Yes","No")),"ERROR")</f>
        <v/>
      </c>
      <c r="R111" s="59">
        <f>IF(OR(AB111&lt;&gt;1,AC111&lt;&gt;1,AD111&lt;&gt;1,AF111&lt;&gt;1,AE111&lt;&gt;1,AG111&lt;&gt;1),-1,1)</f>
        <v/>
      </c>
      <c r="S111" s="60">
        <f>AB111</f>
        <v/>
      </c>
      <c r="T111" s="61">
        <f>AC111</f>
        <v/>
      </c>
      <c r="U111" s="61">
        <f>AD111</f>
        <v/>
      </c>
      <c r="V111" s="61">
        <f>AE111</f>
        <v/>
      </c>
      <c r="W111" s="61">
        <f>AF111</f>
        <v/>
      </c>
      <c r="X111" s="62">
        <f>AG111</f>
        <v/>
      </c>
      <c r="Y111" s="10" t="n"/>
      <c r="Z111" s="64" t="inlineStr">
        <is>
          <t>Gambian</t>
        </is>
      </c>
      <c r="AA111" s="10" t="n"/>
      <c r="AB111">
        <f>IFERROR(IF(OR(B111=0,B111=""),0,1),0)</f>
        <v/>
      </c>
      <c r="AC111">
        <f>IFERROR(IF(OR(C111="S",C111="D"),IF(AND(C111="D",D111="F"),1,IF(AND(C111="S",D111="M"),1,0)),IF(OR(C111="W",C111="H"),IF(OR(AND(C111="W",D111="F"),AND(C111="H",D111="M")),1,),IF(OR(D111="M",D111="F"),1,0))),0)</f>
        <v/>
      </c>
      <c r="AD111">
        <f>IFERROR(IF(OR(C111="E",C111="W",C111="H"),1,IF(C111 = "S",IF(D111="M",1,0),IF(D111 = "F",1,0))),0)</f>
        <v/>
      </c>
      <c r="AE111">
        <f>IFERROR(IF(OR(E111="M",E111="S"),IF(E111="M",IF(OR(C111="S",C111 = "D"),0,1),IF(OR(C111="W",C111="H"),0,1)),0),0)</f>
        <v/>
      </c>
      <c r="AF111">
        <f>IF(G111="",-1,IF(AND(G111&lt;=TODAY(),ISNUMBER(DATE(YEAR(G111),MONTH(G111),DAY(G111)))),IF(AND(OR(C111="S",C111="D"),J111&gt;24),-1,1),-1))</f>
        <v/>
      </c>
      <c r="AG111">
        <f>IF(OR(I111="CAT 1",I111="CAT 2",I111="CAT 3",I111="CAT 4"),1,0)</f>
        <v/>
      </c>
      <c r="AH111">
        <f>PRODUCT(AF111:AG111)*AE111</f>
        <v/>
      </c>
    </row>
    <row r="112" customFormat="1" s="12">
      <c r="A112" s="37" t="n">
        <v>111</v>
      </c>
      <c r="B112" s="38" t="n"/>
      <c r="C112" s="39" t="n"/>
      <c r="D112" s="40" t="n"/>
      <c r="E112" s="40" t="n"/>
      <c r="F112" s="39" t="n"/>
      <c r="G112" s="2" t="n"/>
      <c r="H112" s="2" t="n"/>
      <c r="I112" s="39" t="n"/>
      <c r="J112" s="50">
        <f>IFERROR(IF(G112="","",ROUNDDOWN(IF($G112="","",(inception_date-$G112)/365.25),0)),0)</f>
        <v/>
      </c>
      <c r="K112" s="37">
        <f>IF(I112="","",IF($AM$3=1,IFERROR(IF(J112=FALSE,"",VLOOKUP(J112,$AJ$1:$AK$18,2,1)),""),IFERROR(IF(J112 = "FALSE","",VLOOKUP(J112,#REF!,2,TRUE)),"")))</f>
        <v/>
      </c>
      <c r="L112" s="37" t="n"/>
      <c r="M112" s="37" t="n"/>
      <c r="N112" s="37" t="n"/>
      <c r="O112" s="41">
        <f>IF(C112="","",IF(R112=1,"Yes","No"))</f>
        <v/>
      </c>
      <c r="P112" s="51">
        <f>IFERROR(IF(C112="","",IF(AND(Census!C112="E",Census!J112&gt;=18,Census!J112&lt;=65),"Yes","No")),"ERROR")</f>
        <v/>
      </c>
      <c r="Q112" s="52">
        <f>IFERROR(IF(C112="","",IF(AND(Census!C112="E",Census!J112&gt;=18,Census!J112&lt;=64),"Yes","No")),"ERROR")</f>
        <v/>
      </c>
      <c r="R112" s="53">
        <f>IF(OR(AB112&lt;&gt;1,AC112&lt;&gt;1,AD112&lt;&gt;1,AF112&lt;&gt;1,AE112&lt;&gt;1,AG112&lt;&gt;1),-1,1)</f>
        <v/>
      </c>
      <c r="S112" s="54">
        <f>AB112</f>
        <v/>
      </c>
      <c r="T112" s="55">
        <f>AC112</f>
        <v/>
      </c>
      <c r="U112" s="55">
        <f>AD112</f>
        <v/>
      </c>
      <c r="V112" s="55">
        <f>AE112</f>
        <v/>
      </c>
      <c r="W112" s="55">
        <f>AF112</f>
        <v/>
      </c>
      <c r="X112" s="56">
        <f>AG112</f>
        <v/>
      </c>
      <c r="Y112" s="10" t="n"/>
      <c r="Z112" s="64" t="inlineStr">
        <is>
          <t>Georgian</t>
        </is>
      </c>
      <c r="AA112" s="10" t="n"/>
      <c r="AB112">
        <f>IFERROR(IF(OR(B112=0,B112=""),0,1),0)</f>
        <v/>
      </c>
      <c r="AC112">
        <f>IFERROR(IF(OR(C112="S",C112="D"),IF(AND(C112="D",D112="F"),1,IF(AND(C112="S",D112="M"),1,0)),IF(OR(C112="W",C112="H"),IF(OR(AND(C112="W",D112="F"),AND(C112="H",D112="M")),1,),IF(OR(D112="M",D112="F"),1,0))),0)</f>
        <v/>
      </c>
      <c r="AD112">
        <f>IFERROR(IF(OR(C112="E",C112="W",C112="H"),1,IF(C112 = "S",IF(D112="M",1,0),IF(D112 = "F",1,0))),0)</f>
        <v/>
      </c>
      <c r="AE112">
        <f>IFERROR(IF(OR(E112="M",E112="S"),IF(E112="M",IF(OR(C112="S",C112 = "D"),0,1),IF(OR(C112="W",C112="H"),0,1)),0),0)</f>
        <v/>
      </c>
      <c r="AF112">
        <f>IF(G112="",-1,IF(AND(G112&lt;=TODAY(),ISNUMBER(DATE(YEAR(G112),MONTH(G112),DAY(G112)))),IF(AND(OR(C112="S",C112="D"),J112&gt;24),-1,1),-1))</f>
        <v/>
      </c>
      <c r="AG112">
        <f>IF(OR(I112="CAT 1",I112="CAT 2",I112="CAT 3",I112="CAT 4"),1,0)</f>
        <v/>
      </c>
      <c r="AH112">
        <f>PRODUCT(AF112:AG112)*AE112</f>
        <v/>
      </c>
    </row>
    <row r="113" customFormat="1" s="12">
      <c r="A113" s="42" t="n">
        <v>112</v>
      </c>
      <c r="B113" s="43" t="n"/>
      <c r="C113" s="44" t="n"/>
      <c r="D113" s="45" t="n"/>
      <c r="E113" s="45" t="n"/>
      <c r="F113" s="39" t="n"/>
      <c r="G113" s="3" t="n"/>
      <c r="H113" s="3" t="n"/>
      <c r="I113" s="44" t="n"/>
      <c r="J113" s="42">
        <f>IFERROR(IF(G113="","",ROUNDDOWN(IF($G113="","",(inception_date-$G113)/365.25),0)),0)</f>
        <v/>
      </c>
      <c r="K113" s="42">
        <f>IF(I113="","",IF($AM$3=1,IFERROR(IF(J113=FALSE,"",VLOOKUP(J113,$AJ$1:$AK$18,2,1)),""),IFERROR(IF(J113 = "FALSE","",VLOOKUP(J113,#REF!,2,TRUE)),"")))</f>
        <v/>
      </c>
      <c r="L113" s="42" t="n"/>
      <c r="M113" s="42" t="n"/>
      <c r="N113" s="42" t="n"/>
      <c r="O113" s="46">
        <f>IF(C113="","",IF(R113=1,"Yes","No"))</f>
        <v/>
      </c>
      <c r="P113" s="57">
        <f>IFERROR(IF(C113="","",IF(AND(Census!C113="E",Census!J113&gt;=18,Census!J113&lt;=65),"Yes","No")),"ERROR")</f>
        <v/>
      </c>
      <c r="Q113" s="58">
        <f>IFERROR(IF(C113="","",IF(AND(Census!C113="E",Census!J113&gt;=18,Census!J113&lt;=64),"Yes","No")),"ERROR")</f>
        <v/>
      </c>
      <c r="R113" s="59">
        <f>IF(OR(AB113&lt;&gt;1,AC113&lt;&gt;1,AD113&lt;&gt;1,AF113&lt;&gt;1,AE113&lt;&gt;1,AG113&lt;&gt;1),-1,1)</f>
        <v/>
      </c>
      <c r="S113" s="60">
        <f>AB113</f>
        <v/>
      </c>
      <c r="T113" s="61">
        <f>AC113</f>
        <v/>
      </c>
      <c r="U113" s="61">
        <f>AD113</f>
        <v/>
      </c>
      <c r="V113" s="61">
        <f>AE113</f>
        <v/>
      </c>
      <c r="W113" s="61">
        <f>AF113</f>
        <v/>
      </c>
      <c r="X113" s="62">
        <f>AG113</f>
        <v/>
      </c>
      <c r="Y113" s="10" t="n"/>
      <c r="Z113" s="64" t="inlineStr">
        <is>
          <t>Germany</t>
        </is>
      </c>
      <c r="AA113" s="10" t="n"/>
      <c r="AB113">
        <f>IFERROR(IF(OR(B113=0,B113=""),0,1),0)</f>
        <v/>
      </c>
      <c r="AC113">
        <f>IFERROR(IF(OR(C113="S",C113="D"),IF(AND(C113="D",D113="F"),1,IF(AND(C113="S",D113="M"),1,0)),IF(OR(C113="W",C113="H"),IF(OR(AND(C113="W",D113="F"),AND(C113="H",D113="M")),1,),IF(OR(D113="M",D113="F"),1,0))),0)</f>
        <v/>
      </c>
      <c r="AD113">
        <f>IFERROR(IF(OR(C113="E",C113="W",C113="H"),1,IF(C113 = "S",IF(D113="M",1,0),IF(D113 = "F",1,0))),0)</f>
        <v/>
      </c>
      <c r="AE113">
        <f>IFERROR(IF(OR(E113="M",E113="S"),IF(E113="M",IF(OR(C113="S",C113 = "D"),0,1),IF(OR(C113="W",C113="H"),0,1)),0),0)</f>
        <v/>
      </c>
      <c r="AF113">
        <f>IF(G113="",-1,IF(AND(G113&lt;=TODAY(),ISNUMBER(DATE(YEAR(G113),MONTH(G113),DAY(G113)))),IF(AND(OR(C113="S",C113="D"),J113&gt;24),-1,1),-1))</f>
        <v/>
      </c>
      <c r="AG113">
        <f>IF(OR(I113="CAT 1",I113="CAT 2",I113="CAT 3",I113="CAT 4"),1,0)</f>
        <v/>
      </c>
      <c r="AH113">
        <f>PRODUCT(AF113:AG113)*AE113</f>
        <v/>
      </c>
    </row>
    <row r="114" customFormat="1" s="12">
      <c r="A114" s="37" t="n">
        <v>113</v>
      </c>
      <c r="B114" s="38" t="n"/>
      <c r="C114" s="39" t="n"/>
      <c r="D114" s="40" t="n"/>
      <c r="E114" s="40" t="n"/>
      <c r="F114" s="39" t="n"/>
      <c r="G114" s="2" t="n"/>
      <c r="H114" s="2" t="n"/>
      <c r="I114" s="39" t="n"/>
      <c r="J114" s="50">
        <f>IFERROR(IF(G114="","",ROUNDDOWN(IF($G114="","",(inception_date-$G114)/365.25),0)),0)</f>
        <v/>
      </c>
      <c r="K114" s="37">
        <f>IF(I114="","",IF($AM$3=1,IFERROR(IF(J114=FALSE,"",VLOOKUP(J114,$AJ$1:$AK$18,2,1)),""),IFERROR(IF(J114 = "FALSE","",VLOOKUP(J114,#REF!,2,TRUE)),"")))</f>
        <v/>
      </c>
      <c r="L114" s="37" t="n"/>
      <c r="M114" s="37" t="n"/>
      <c r="N114" s="37" t="n"/>
      <c r="O114" s="41">
        <f>IF(C114="","",IF(R114=1,"Yes","No"))</f>
        <v/>
      </c>
      <c r="P114" s="51">
        <f>IFERROR(IF(C114="","",IF(AND(Census!C114="E",Census!J114&gt;=18,Census!J114&lt;=65),"Yes","No")),"ERROR")</f>
        <v/>
      </c>
      <c r="Q114" s="52">
        <f>IFERROR(IF(C114="","",IF(AND(Census!C114="E",Census!J114&gt;=18,Census!J114&lt;=64),"Yes","No")),"ERROR")</f>
        <v/>
      </c>
      <c r="R114" s="53">
        <f>IF(OR(AB114&lt;&gt;1,AC114&lt;&gt;1,AD114&lt;&gt;1,AF114&lt;&gt;1,AE114&lt;&gt;1,AG114&lt;&gt;1),-1,1)</f>
        <v/>
      </c>
      <c r="S114" s="54">
        <f>AB114</f>
        <v/>
      </c>
      <c r="T114" s="55">
        <f>AC114</f>
        <v/>
      </c>
      <c r="U114" s="55">
        <f>AD114</f>
        <v/>
      </c>
      <c r="V114" s="55">
        <f>AE114</f>
        <v/>
      </c>
      <c r="W114" s="55">
        <f>AF114</f>
        <v/>
      </c>
      <c r="X114" s="56">
        <f>AG114</f>
        <v/>
      </c>
      <c r="Y114" s="10" t="n"/>
      <c r="Z114" s="64" t="inlineStr">
        <is>
          <t>Ghanaian</t>
        </is>
      </c>
      <c r="AA114" s="10" t="n"/>
      <c r="AB114">
        <f>IFERROR(IF(OR(B114=0,B114=""),0,1),0)</f>
        <v/>
      </c>
      <c r="AC114">
        <f>IFERROR(IF(OR(C114="S",C114="D"),IF(AND(C114="D",D114="F"),1,IF(AND(C114="S",D114="M"),1,0)),IF(OR(C114="W",C114="H"),IF(OR(AND(C114="W",D114="F"),AND(C114="H",D114="M")),1,),IF(OR(D114="M",D114="F"),1,0))),0)</f>
        <v/>
      </c>
      <c r="AD114">
        <f>IFERROR(IF(OR(C114="E",C114="W",C114="H"),1,IF(C114 = "S",IF(D114="M",1,0),IF(D114 = "F",1,0))),0)</f>
        <v/>
      </c>
      <c r="AE114">
        <f>IFERROR(IF(OR(E114="M",E114="S"),IF(E114="M",IF(OR(C114="S",C114 = "D"),0,1),IF(OR(C114="W",C114="H"),0,1)),0),0)</f>
        <v/>
      </c>
      <c r="AF114">
        <f>IF(G114="",-1,IF(AND(G114&lt;=TODAY(),ISNUMBER(DATE(YEAR(G114),MONTH(G114),DAY(G114)))),IF(AND(OR(C114="S",C114="D"),J114&gt;24),-1,1),-1))</f>
        <v/>
      </c>
      <c r="AG114">
        <f>IF(OR(I114="CAT 1",I114="CAT 2",I114="CAT 3",I114="CAT 4"),1,0)</f>
        <v/>
      </c>
      <c r="AH114">
        <f>PRODUCT(AF114:AG114)*AE114</f>
        <v/>
      </c>
    </row>
    <row r="115" customFormat="1" s="12">
      <c r="A115" s="42" t="n">
        <v>114</v>
      </c>
      <c r="B115" s="43" t="n"/>
      <c r="C115" s="44" t="n"/>
      <c r="D115" s="45" t="n"/>
      <c r="E115" s="45" t="n"/>
      <c r="F115" s="39" t="n"/>
      <c r="G115" s="3" t="n"/>
      <c r="H115" s="3" t="n"/>
      <c r="I115" s="44" t="n"/>
      <c r="J115" s="42">
        <f>IFERROR(IF(G115="","",ROUNDDOWN(IF($G115="","",(inception_date-$G115)/365.25),0)),0)</f>
        <v/>
      </c>
      <c r="K115" s="42">
        <f>IF(I115="","",IF($AM$3=1,IFERROR(IF(J115=FALSE,"",VLOOKUP(J115,$AJ$1:$AK$18,2,1)),""),IFERROR(IF(J115 = "FALSE","",VLOOKUP(J115,#REF!,2,TRUE)),"")))</f>
        <v/>
      </c>
      <c r="L115" s="42" t="n"/>
      <c r="M115" s="42" t="n"/>
      <c r="N115" s="42" t="n"/>
      <c r="O115" s="46">
        <f>IF(C115="","",IF(R115=1,"Yes","No"))</f>
        <v/>
      </c>
      <c r="P115" s="57">
        <f>IFERROR(IF(C115="","",IF(AND(Census!C115="E",Census!J115&gt;=18,Census!J115&lt;=65),"Yes","No")),"ERROR")</f>
        <v/>
      </c>
      <c r="Q115" s="58">
        <f>IFERROR(IF(C115="","",IF(AND(Census!C115="E",Census!J115&gt;=18,Census!J115&lt;=64),"Yes","No")),"ERROR")</f>
        <v/>
      </c>
      <c r="R115" s="59">
        <f>IF(OR(AB115&lt;&gt;1,AC115&lt;&gt;1,AD115&lt;&gt;1,AF115&lt;&gt;1,AE115&lt;&gt;1,AG115&lt;&gt;1),-1,1)</f>
        <v/>
      </c>
      <c r="S115" s="60">
        <f>AB115</f>
        <v/>
      </c>
      <c r="T115" s="61">
        <f>AC115</f>
        <v/>
      </c>
      <c r="U115" s="61">
        <f>AD115</f>
        <v/>
      </c>
      <c r="V115" s="61">
        <f>AE115</f>
        <v/>
      </c>
      <c r="W115" s="61">
        <f>AF115</f>
        <v/>
      </c>
      <c r="X115" s="62">
        <f>AG115</f>
        <v/>
      </c>
      <c r="Y115" s="10" t="n"/>
      <c r="Z115" s="64" t="inlineStr">
        <is>
          <t>Gibraltarian</t>
        </is>
      </c>
      <c r="AA115" s="10" t="n"/>
      <c r="AB115">
        <f>IFERROR(IF(OR(B115=0,B115=""),0,1),0)</f>
        <v/>
      </c>
      <c r="AC115">
        <f>IFERROR(IF(OR(C115="S",C115="D"),IF(AND(C115="D",D115="F"),1,IF(AND(C115="S",D115="M"),1,0)),IF(OR(C115="W",C115="H"),IF(OR(AND(C115="W",D115="F"),AND(C115="H",D115="M")),1,),IF(OR(D115="M",D115="F"),1,0))),0)</f>
        <v/>
      </c>
      <c r="AD115">
        <f>IFERROR(IF(OR(C115="E",C115="W",C115="H"),1,IF(C115 = "S",IF(D115="M",1,0),IF(D115 = "F",1,0))),0)</f>
        <v/>
      </c>
      <c r="AE115">
        <f>IFERROR(IF(OR(E115="M",E115="S"),IF(E115="M",IF(OR(C115="S",C115 = "D"),0,1),IF(OR(C115="W",C115="H"),0,1)),0),0)</f>
        <v/>
      </c>
      <c r="AF115">
        <f>IF(G115="",-1,IF(AND(G115&lt;=TODAY(),ISNUMBER(DATE(YEAR(G115),MONTH(G115),DAY(G115)))),IF(AND(OR(C115="S",C115="D"),J115&gt;24),-1,1),-1))</f>
        <v/>
      </c>
      <c r="AG115">
        <f>IF(OR(I115="CAT 1",I115="CAT 2",I115="CAT 3",I115="CAT 4"),1,0)</f>
        <v/>
      </c>
      <c r="AH115">
        <f>PRODUCT(AF115:AG115)*AE115</f>
        <v/>
      </c>
    </row>
    <row r="116" customFormat="1" s="12">
      <c r="A116" s="37" t="n">
        <v>115</v>
      </c>
      <c r="B116" s="38" t="n"/>
      <c r="C116" s="39" t="n"/>
      <c r="D116" s="40" t="n"/>
      <c r="E116" s="40" t="n"/>
      <c r="F116" s="39" t="n"/>
      <c r="G116" s="2" t="n"/>
      <c r="H116" s="2" t="n"/>
      <c r="I116" s="39" t="n"/>
      <c r="J116" s="50">
        <f>IFERROR(IF(G116="","",ROUNDDOWN(IF($G116="","",(inception_date-$G116)/365.25),0)),0)</f>
        <v/>
      </c>
      <c r="K116" s="37">
        <f>IF(I116="","",IF($AM$3=1,IFERROR(IF(J116=FALSE,"",VLOOKUP(J116,$AJ$1:$AK$18,2,1)),""),IFERROR(IF(J116 = "FALSE","",VLOOKUP(J116,#REF!,2,TRUE)),"")))</f>
        <v/>
      </c>
      <c r="L116" s="37" t="n"/>
      <c r="M116" s="37" t="n"/>
      <c r="N116" s="37" t="n"/>
      <c r="O116" s="41">
        <f>IF(C116="","",IF(R116=1,"Yes","No"))</f>
        <v/>
      </c>
      <c r="P116" s="51">
        <f>IFERROR(IF(C116="","",IF(AND(Census!C116="E",Census!J116&gt;=18,Census!J116&lt;=65),"Yes","No")),"ERROR")</f>
        <v/>
      </c>
      <c r="Q116" s="52">
        <f>IFERROR(IF(C116="","",IF(AND(Census!C116="E",Census!J116&gt;=18,Census!J116&lt;=64),"Yes","No")),"ERROR")</f>
        <v/>
      </c>
      <c r="R116" s="53">
        <f>IF(OR(AB116&lt;&gt;1,AC116&lt;&gt;1,AD116&lt;&gt;1,AF116&lt;&gt;1,AE116&lt;&gt;1,AG116&lt;&gt;1),-1,1)</f>
        <v/>
      </c>
      <c r="S116" s="54">
        <f>AB116</f>
        <v/>
      </c>
      <c r="T116" s="55">
        <f>AC116</f>
        <v/>
      </c>
      <c r="U116" s="55">
        <f>AD116</f>
        <v/>
      </c>
      <c r="V116" s="55">
        <f>AE116</f>
        <v/>
      </c>
      <c r="W116" s="55">
        <f>AF116</f>
        <v/>
      </c>
      <c r="X116" s="56">
        <f>AG116</f>
        <v/>
      </c>
      <c r="Y116" s="10" t="n"/>
      <c r="Z116" s="64" t="inlineStr">
        <is>
          <t>Greek</t>
        </is>
      </c>
      <c r="AA116" s="10" t="n"/>
      <c r="AB116">
        <f>IFERROR(IF(OR(B116=0,B116=""),0,1),0)</f>
        <v/>
      </c>
      <c r="AC116">
        <f>IFERROR(IF(OR(C116="S",C116="D"),IF(AND(C116="D",D116="F"),1,IF(AND(C116="S",D116="M"),1,0)),IF(OR(C116="W",C116="H"),IF(OR(AND(C116="W",D116="F"),AND(C116="H",D116="M")),1,),IF(OR(D116="M",D116="F"),1,0))),0)</f>
        <v/>
      </c>
      <c r="AD116">
        <f>IFERROR(IF(OR(C116="E",C116="W",C116="H"),1,IF(C116 = "S",IF(D116="M",1,0),IF(D116 = "F",1,0))),0)</f>
        <v/>
      </c>
      <c r="AE116">
        <f>IFERROR(IF(OR(E116="M",E116="S"),IF(E116="M",IF(OR(C116="S",C116 = "D"),0,1),IF(OR(C116="W",C116="H"),0,1)),0),0)</f>
        <v/>
      </c>
      <c r="AF116">
        <f>IF(G116="",-1,IF(AND(G116&lt;=TODAY(),ISNUMBER(DATE(YEAR(G116),MONTH(G116),DAY(G116)))),IF(AND(OR(C116="S",C116="D"),J116&gt;24),-1,1),-1))</f>
        <v/>
      </c>
      <c r="AG116">
        <f>IF(OR(I116="CAT 1",I116="CAT 2",I116="CAT 3",I116="CAT 4"),1,0)</f>
        <v/>
      </c>
      <c r="AH116">
        <f>PRODUCT(AF116:AG116)*AE116</f>
        <v/>
      </c>
    </row>
    <row r="117" customFormat="1" s="12">
      <c r="A117" s="42" t="n">
        <v>116</v>
      </c>
      <c r="B117" s="43" t="n"/>
      <c r="C117" s="44" t="n"/>
      <c r="D117" s="45" t="n"/>
      <c r="E117" s="45" t="n"/>
      <c r="F117" s="39" t="n"/>
      <c r="G117" s="3" t="n"/>
      <c r="H117" s="3" t="n"/>
      <c r="I117" s="44" t="n"/>
      <c r="J117" s="42">
        <f>IFERROR(IF(G117="","",ROUNDDOWN(IF($G117="","",(inception_date-$G117)/365.25),0)),0)</f>
        <v/>
      </c>
      <c r="K117" s="42">
        <f>IF(I117="","",IF($AM$3=1,IFERROR(IF(J117=FALSE,"",VLOOKUP(J117,$AJ$1:$AK$18,2,1)),""),IFERROR(IF(J117 = "FALSE","",VLOOKUP(J117,#REF!,2,TRUE)),"")))</f>
        <v/>
      </c>
      <c r="L117" s="42" t="n"/>
      <c r="M117" s="42" t="n"/>
      <c r="N117" s="42" t="n"/>
      <c r="O117" s="46">
        <f>IF(C117="","",IF(R117=1,"Yes","No"))</f>
        <v/>
      </c>
      <c r="P117" s="57">
        <f>IFERROR(IF(C117="","",IF(AND(Census!C117="E",Census!J117&gt;=18,Census!J117&lt;=65),"Yes","No")),"ERROR")</f>
        <v/>
      </c>
      <c r="Q117" s="58">
        <f>IFERROR(IF(C117="","",IF(AND(Census!C117="E",Census!J117&gt;=18,Census!J117&lt;=64),"Yes","No")),"ERROR")</f>
        <v/>
      </c>
      <c r="R117" s="59">
        <f>IF(OR(AB117&lt;&gt;1,AC117&lt;&gt;1,AD117&lt;&gt;1,AF117&lt;&gt;1,AE117&lt;&gt;1,AG117&lt;&gt;1),-1,1)</f>
        <v/>
      </c>
      <c r="S117" s="60">
        <f>AB117</f>
        <v/>
      </c>
      <c r="T117" s="61">
        <f>AC117</f>
        <v/>
      </c>
      <c r="U117" s="61">
        <f>AD117</f>
        <v/>
      </c>
      <c r="V117" s="61">
        <f>AE117</f>
        <v/>
      </c>
      <c r="W117" s="61">
        <f>AF117</f>
        <v/>
      </c>
      <c r="X117" s="62">
        <f>AG117</f>
        <v/>
      </c>
      <c r="Y117" s="10" t="n"/>
      <c r="Z117" s="64" t="inlineStr">
        <is>
          <t>Greenlander</t>
        </is>
      </c>
      <c r="AA117" s="10" t="n"/>
      <c r="AB117">
        <f>IFERROR(IF(OR(B117=0,B117=""),0,1),0)</f>
        <v/>
      </c>
      <c r="AC117">
        <f>IFERROR(IF(OR(C117="S",C117="D"),IF(AND(C117="D",D117="F"),1,IF(AND(C117="S",D117="M"),1,0)),IF(OR(C117="W",C117="H"),IF(OR(AND(C117="W",D117="F"),AND(C117="H",D117="M")),1,),IF(OR(D117="M",D117="F"),1,0))),0)</f>
        <v/>
      </c>
      <c r="AD117">
        <f>IFERROR(IF(OR(C117="E",C117="W",C117="H"),1,IF(C117 = "S",IF(D117="M",1,0),IF(D117 = "F",1,0))),0)</f>
        <v/>
      </c>
      <c r="AE117">
        <f>IFERROR(IF(OR(E117="M",E117="S"),IF(E117="M",IF(OR(C117="S",C117 = "D"),0,1),IF(OR(C117="W",C117="H"),0,1)),0),0)</f>
        <v/>
      </c>
      <c r="AF117">
        <f>IF(G117="",-1,IF(AND(G117&lt;=TODAY(),ISNUMBER(DATE(YEAR(G117),MONTH(G117),DAY(G117)))),IF(AND(OR(C117="S",C117="D"),J117&gt;24),-1,1),-1))</f>
        <v/>
      </c>
      <c r="AG117">
        <f>IF(OR(I117="CAT 1",I117="CAT 2",I117="CAT 3",I117="CAT 4"),1,0)</f>
        <v/>
      </c>
      <c r="AH117">
        <f>PRODUCT(AF117:AG117)*AE117</f>
        <v/>
      </c>
    </row>
    <row r="118" customFormat="1" s="12">
      <c r="A118" s="37" t="n">
        <v>117</v>
      </c>
      <c r="B118" s="38" t="n"/>
      <c r="C118" s="39" t="n"/>
      <c r="D118" s="40" t="n"/>
      <c r="E118" s="40" t="n"/>
      <c r="F118" s="39" t="n"/>
      <c r="G118" s="2" t="n"/>
      <c r="H118" s="2" t="n"/>
      <c r="I118" s="39" t="n"/>
      <c r="J118" s="50">
        <f>IFERROR(IF(G118="","",ROUNDDOWN(IF($G118="","",(inception_date-$G118)/365.25),0)),0)</f>
        <v/>
      </c>
      <c r="K118" s="37">
        <f>IF(I118="","",IF($AM$3=1,IFERROR(IF(J118=FALSE,"",VLOOKUP(J118,$AJ$1:$AK$18,2,1)),""),IFERROR(IF(J118 = "FALSE","",VLOOKUP(J118,#REF!,2,TRUE)),"")))</f>
        <v/>
      </c>
      <c r="L118" s="37" t="n"/>
      <c r="M118" s="37" t="n"/>
      <c r="N118" s="37" t="n"/>
      <c r="O118" s="41">
        <f>IF(C118="","",IF(R118=1,"Yes","No"))</f>
        <v/>
      </c>
      <c r="P118" s="51">
        <f>IFERROR(IF(C118="","",IF(AND(Census!C118="E",Census!J118&gt;=18,Census!J118&lt;=65),"Yes","No")),"ERROR")</f>
        <v/>
      </c>
      <c r="Q118" s="52">
        <f>IFERROR(IF(C118="","",IF(AND(Census!C118="E",Census!J118&gt;=18,Census!J118&lt;=64),"Yes","No")),"ERROR")</f>
        <v/>
      </c>
      <c r="R118" s="53">
        <f>IF(OR(AB118&lt;&gt;1,AC118&lt;&gt;1,AD118&lt;&gt;1,AF118&lt;&gt;1,AE118&lt;&gt;1,AG118&lt;&gt;1),-1,1)</f>
        <v/>
      </c>
      <c r="S118" s="54">
        <f>AB118</f>
        <v/>
      </c>
      <c r="T118" s="55">
        <f>AC118</f>
        <v/>
      </c>
      <c r="U118" s="55">
        <f>AD118</f>
        <v/>
      </c>
      <c r="V118" s="55">
        <f>AE118</f>
        <v/>
      </c>
      <c r="W118" s="55">
        <f>AF118</f>
        <v/>
      </c>
      <c r="X118" s="56">
        <f>AG118</f>
        <v/>
      </c>
      <c r="Y118" s="10" t="n"/>
      <c r="Z118" s="64" t="inlineStr">
        <is>
          <t>Grenadian</t>
        </is>
      </c>
      <c r="AA118" s="10" t="n"/>
      <c r="AB118">
        <f>IFERROR(IF(OR(B118=0,B118=""),0,1),0)</f>
        <v/>
      </c>
      <c r="AC118">
        <f>IFERROR(IF(OR(C118="S",C118="D"),IF(AND(C118="D",D118="F"),1,IF(AND(C118="S",D118="M"),1,0)),IF(OR(C118="W",C118="H"),IF(OR(AND(C118="W",D118="F"),AND(C118="H",D118="M")),1,),IF(OR(D118="M",D118="F"),1,0))),0)</f>
        <v/>
      </c>
      <c r="AD118">
        <f>IFERROR(IF(OR(C118="E",C118="W",C118="H"),1,IF(C118 = "S",IF(D118="M",1,0),IF(D118 = "F",1,0))),0)</f>
        <v/>
      </c>
      <c r="AE118">
        <f>IFERROR(IF(OR(E118="M",E118="S"),IF(E118="M",IF(OR(C118="S",C118 = "D"),0,1),IF(OR(C118="W",C118="H"),0,1)),0),0)</f>
        <v/>
      </c>
      <c r="AF118">
        <f>IF(G118="",-1,IF(AND(G118&lt;=TODAY(),ISNUMBER(DATE(YEAR(G118),MONTH(G118),DAY(G118)))),IF(AND(OR(C118="S",C118="D"),J118&gt;24),-1,1),-1))</f>
        <v/>
      </c>
      <c r="AG118">
        <f>IF(OR(I118="CAT 1",I118="CAT 2",I118="CAT 3",I118="CAT 4"),1,0)</f>
        <v/>
      </c>
      <c r="AH118">
        <f>PRODUCT(AF118:AG118)*AE118</f>
        <v/>
      </c>
    </row>
    <row r="119" customFormat="1" s="12">
      <c r="A119" s="42" t="n">
        <v>118</v>
      </c>
      <c r="B119" s="43" t="n"/>
      <c r="C119" s="44" t="n"/>
      <c r="D119" s="45" t="n"/>
      <c r="E119" s="45" t="n"/>
      <c r="F119" s="39" t="n"/>
      <c r="G119" s="3" t="n"/>
      <c r="H119" s="3" t="n"/>
      <c r="I119" s="44" t="n"/>
      <c r="J119" s="42">
        <f>IFERROR(IF(G119="","",ROUNDDOWN(IF($G119="","",(inception_date-$G119)/365.25),0)),0)</f>
        <v/>
      </c>
      <c r="K119" s="42">
        <f>IF(I119="","",IF($AM$3=1,IFERROR(IF(J119=FALSE,"",VLOOKUP(J119,$AJ$1:$AK$18,2,1)),""),IFERROR(IF(J119 = "FALSE","",VLOOKUP(J119,#REF!,2,TRUE)),"")))</f>
        <v/>
      </c>
      <c r="L119" s="42" t="n"/>
      <c r="M119" s="42" t="n"/>
      <c r="N119" s="42" t="n"/>
      <c r="O119" s="46">
        <f>IF(C119="","",IF(R119=1,"Yes","No"))</f>
        <v/>
      </c>
      <c r="P119" s="57">
        <f>IFERROR(IF(C119="","",IF(AND(Census!C119="E",Census!J119&gt;=18,Census!J119&lt;=65),"Yes","No")),"ERROR")</f>
        <v/>
      </c>
      <c r="Q119" s="58">
        <f>IFERROR(IF(C119="","",IF(AND(Census!C119="E",Census!J119&gt;=18,Census!J119&lt;=64),"Yes","No")),"ERROR")</f>
        <v/>
      </c>
      <c r="R119" s="59">
        <f>IF(OR(AB119&lt;&gt;1,AC119&lt;&gt;1,AD119&lt;&gt;1,AF119&lt;&gt;1,AE119&lt;&gt;1,AG119&lt;&gt;1),-1,1)</f>
        <v/>
      </c>
      <c r="S119" s="60">
        <f>AB119</f>
        <v/>
      </c>
      <c r="T119" s="61">
        <f>AC119</f>
        <v/>
      </c>
      <c r="U119" s="61">
        <f>AD119</f>
        <v/>
      </c>
      <c r="V119" s="61">
        <f>AE119</f>
        <v/>
      </c>
      <c r="W119" s="61">
        <f>AF119</f>
        <v/>
      </c>
      <c r="X119" s="62">
        <f>AG119</f>
        <v/>
      </c>
      <c r="Y119" s="10" t="n"/>
      <c r="Z119" s="64" t="inlineStr">
        <is>
          <t>Guam</t>
        </is>
      </c>
      <c r="AA119" s="10" t="n"/>
      <c r="AB119">
        <f>IFERROR(IF(OR(B119=0,B119=""),0,1),0)</f>
        <v/>
      </c>
      <c r="AC119">
        <f>IFERROR(IF(OR(C119="S",C119="D"),IF(AND(C119="D",D119="F"),1,IF(AND(C119="S",D119="M"),1,0)),IF(OR(C119="W",C119="H"),IF(OR(AND(C119="W",D119="F"),AND(C119="H",D119="M")),1,),IF(OR(D119="M",D119="F"),1,0))),0)</f>
        <v/>
      </c>
      <c r="AD119">
        <f>IFERROR(IF(OR(C119="E",C119="W",C119="H"),1,IF(C119 = "S",IF(D119="M",1,0),IF(D119 = "F",1,0))),0)</f>
        <v/>
      </c>
      <c r="AE119">
        <f>IFERROR(IF(OR(E119="M",E119="S"),IF(E119="M",IF(OR(C119="S",C119 = "D"),0,1),IF(OR(C119="W",C119="H"),0,1)),0),0)</f>
        <v/>
      </c>
      <c r="AF119">
        <f>IF(G119="",-1,IF(AND(G119&lt;=TODAY(),ISNUMBER(DATE(YEAR(G119),MONTH(G119),DAY(G119)))),IF(AND(OR(C119="S",C119="D"),J119&gt;24),-1,1),-1))</f>
        <v/>
      </c>
      <c r="AG119">
        <f>IF(OR(I119="CAT 1",I119="CAT 2",I119="CAT 3",I119="CAT 4"),1,0)</f>
        <v/>
      </c>
      <c r="AH119">
        <f>PRODUCT(AF119:AG119)*AE119</f>
        <v/>
      </c>
    </row>
    <row r="120" customFormat="1" s="12">
      <c r="A120" s="37" t="n">
        <v>119</v>
      </c>
      <c r="B120" s="38" t="n"/>
      <c r="C120" s="39" t="n"/>
      <c r="D120" s="40" t="n"/>
      <c r="E120" s="40" t="n"/>
      <c r="F120" s="39" t="n"/>
      <c r="G120" s="2" t="n"/>
      <c r="H120" s="2" t="n"/>
      <c r="I120" s="39" t="n"/>
      <c r="J120" s="50">
        <f>IFERROR(IF(G120="","",ROUNDDOWN(IF($G120="","",(inception_date-$G120)/365.25),0)),0)</f>
        <v/>
      </c>
      <c r="K120" s="37">
        <f>IF(I120="","",IF($AM$3=1,IFERROR(IF(J120=FALSE,"",VLOOKUP(J120,$AJ$1:$AK$18,2,1)),""),IFERROR(IF(J120 = "FALSE","",VLOOKUP(J120,#REF!,2,TRUE)),"")))</f>
        <v/>
      </c>
      <c r="L120" s="37" t="n"/>
      <c r="M120" s="37" t="n"/>
      <c r="N120" s="37" t="n"/>
      <c r="O120" s="41">
        <f>IF(C120="","",IF(R120=1,"Yes","No"))</f>
        <v/>
      </c>
      <c r="P120" s="51">
        <f>IFERROR(IF(C120="","",IF(AND(Census!C120="E",Census!J120&gt;=18,Census!J120&lt;=65),"Yes","No")),"ERROR")</f>
        <v/>
      </c>
      <c r="Q120" s="52">
        <f>IFERROR(IF(C120="","",IF(AND(Census!C120="E",Census!J120&gt;=18,Census!J120&lt;=64),"Yes","No")),"ERROR")</f>
        <v/>
      </c>
      <c r="R120" s="53">
        <f>IF(OR(AB120&lt;&gt;1,AC120&lt;&gt;1,AD120&lt;&gt;1,AF120&lt;&gt;1,AE120&lt;&gt;1,AG120&lt;&gt;1),-1,1)</f>
        <v/>
      </c>
      <c r="S120" s="54">
        <f>AB120</f>
        <v/>
      </c>
      <c r="T120" s="55">
        <f>AC120</f>
        <v/>
      </c>
      <c r="U120" s="55">
        <f>AD120</f>
        <v/>
      </c>
      <c r="V120" s="55">
        <f>AE120</f>
        <v/>
      </c>
      <c r="W120" s="55">
        <f>AF120</f>
        <v/>
      </c>
      <c r="X120" s="56">
        <f>AG120</f>
        <v/>
      </c>
      <c r="Y120" s="10" t="n"/>
      <c r="Z120" s="64" t="inlineStr">
        <is>
          <t>Guatemalan</t>
        </is>
      </c>
      <c r="AA120" s="10" t="n"/>
      <c r="AB120">
        <f>IFERROR(IF(OR(B120=0,B120=""),0,1),0)</f>
        <v/>
      </c>
      <c r="AC120">
        <f>IFERROR(IF(OR(C120="S",C120="D"),IF(AND(C120="D",D120="F"),1,IF(AND(C120="S",D120="M"),1,0)),IF(OR(C120="W",C120="H"),IF(OR(AND(C120="W",D120="F"),AND(C120="H",D120="M")),1,),IF(OR(D120="M",D120="F"),1,0))),0)</f>
        <v/>
      </c>
      <c r="AD120">
        <f>IFERROR(IF(OR(C120="E",C120="W",C120="H"),1,IF(C120 = "S",IF(D120="M",1,0),IF(D120 = "F",1,0))),0)</f>
        <v/>
      </c>
      <c r="AE120">
        <f>IFERROR(IF(OR(E120="M",E120="S"),IF(E120="M",IF(OR(C120="S",C120 = "D"),0,1),IF(OR(C120="W",C120="H"),0,1)),0),0)</f>
        <v/>
      </c>
      <c r="AF120">
        <f>IF(G120="",-1,IF(AND(G120&lt;=TODAY(),ISNUMBER(DATE(YEAR(G120),MONTH(G120),DAY(G120)))),IF(AND(OR(C120="S",C120="D"),J120&gt;24),-1,1),-1))</f>
        <v/>
      </c>
      <c r="AG120">
        <f>IF(OR(I120="CAT 1",I120="CAT 2",I120="CAT 3",I120="CAT 4"),1,0)</f>
        <v/>
      </c>
      <c r="AH120">
        <f>PRODUCT(AF120:AG120)*AE120</f>
        <v/>
      </c>
    </row>
    <row r="121" customFormat="1" s="12">
      <c r="A121" s="42" t="n">
        <v>120</v>
      </c>
      <c r="B121" s="43" t="n"/>
      <c r="C121" s="44" t="n"/>
      <c r="D121" s="45" t="n"/>
      <c r="E121" s="45" t="n"/>
      <c r="F121" s="39" t="n"/>
      <c r="G121" s="3" t="n"/>
      <c r="H121" s="3" t="n"/>
      <c r="I121" s="44" t="n"/>
      <c r="J121" s="42">
        <f>IFERROR(IF(G121="","",ROUNDDOWN(IF($G121="","",(inception_date-$G121)/365.25),0)),0)</f>
        <v/>
      </c>
      <c r="K121" s="42">
        <f>IF(I121="","",IF($AM$3=1,IFERROR(IF(J121=FALSE,"",VLOOKUP(J121,$AJ$1:$AK$18,2,1)),""),IFERROR(IF(J121 = "FALSE","",VLOOKUP(J121,#REF!,2,TRUE)),"")))</f>
        <v/>
      </c>
      <c r="L121" s="42" t="n"/>
      <c r="M121" s="42" t="n"/>
      <c r="N121" s="42" t="n"/>
      <c r="O121" s="46">
        <f>IF(C121="","",IF(R121=1,"Yes","No"))</f>
        <v/>
      </c>
      <c r="P121" s="57">
        <f>IFERROR(IF(C121="","",IF(AND(Census!C121="E",Census!J121&gt;=18,Census!J121&lt;=65),"Yes","No")),"ERROR")</f>
        <v/>
      </c>
      <c r="Q121" s="58">
        <f>IFERROR(IF(C121="","",IF(AND(Census!C121="E",Census!J121&gt;=18,Census!J121&lt;=64),"Yes","No")),"ERROR")</f>
        <v/>
      </c>
      <c r="R121" s="59">
        <f>IF(OR(AB121&lt;&gt;1,AC121&lt;&gt;1,AD121&lt;&gt;1,AF121&lt;&gt;1,AE121&lt;&gt;1,AG121&lt;&gt;1),-1,1)</f>
        <v/>
      </c>
      <c r="S121" s="60">
        <f>AB121</f>
        <v/>
      </c>
      <c r="T121" s="61">
        <f>AC121</f>
        <v/>
      </c>
      <c r="U121" s="61">
        <f>AD121</f>
        <v/>
      </c>
      <c r="V121" s="61">
        <f>AE121</f>
        <v/>
      </c>
      <c r="W121" s="61">
        <f>AF121</f>
        <v/>
      </c>
      <c r="X121" s="62">
        <f>AG121</f>
        <v/>
      </c>
      <c r="Y121" s="10" t="n"/>
      <c r="Z121" s="64" t="inlineStr">
        <is>
          <t>Guinean</t>
        </is>
      </c>
      <c r="AA121" s="10" t="n"/>
      <c r="AB121">
        <f>IFERROR(IF(OR(B121=0,B121=""),0,1),0)</f>
        <v/>
      </c>
      <c r="AC121">
        <f>IFERROR(IF(OR(C121="S",C121="D"),IF(AND(C121="D",D121="F"),1,IF(AND(C121="S",D121="M"),1,0)),IF(OR(C121="W",C121="H"),IF(OR(AND(C121="W",D121="F"),AND(C121="H",D121="M")),1,),IF(OR(D121="M",D121="F"),1,0))),0)</f>
        <v/>
      </c>
      <c r="AD121">
        <f>IFERROR(IF(OR(C121="E",C121="W",C121="H"),1,IF(C121 = "S",IF(D121="M",1,0),IF(D121 = "F",1,0))),0)</f>
        <v/>
      </c>
      <c r="AE121">
        <f>IFERROR(IF(OR(E121="M",E121="S"),IF(E121="M",IF(OR(C121="S",C121 = "D"),0,1),IF(OR(C121="W",C121="H"),0,1)),0),0)</f>
        <v/>
      </c>
      <c r="AF121">
        <f>IF(G121="",-1,IF(AND(G121&lt;=TODAY(),ISNUMBER(DATE(YEAR(G121),MONTH(G121),DAY(G121)))),IF(AND(OR(C121="S",C121="D"),J121&gt;24),-1,1),-1))</f>
        <v/>
      </c>
      <c r="AG121">
        <f>IF(OR(I121="CAT 1",I121="CAT 2",I121="CAT 3",I121="CAT 4"),1,0)</f>
        <v/>
      </c>
      <c r="AH121">
        <f>PRODUCT(AF121:AG121)*AE121</f>
        <v/>
      </c>
    </row>
    <row r="122" customFormat="1" s="12">
      <c r="A122" s="37" t="n">
        <v>121</v>
      </c>
      <c r="B122" s="38" t="n"/>
      <c r="C122" s="39" t="n"/>
      <c r="D122" s="40" t="n"/>
      <c r="E122" s="40" t="n"/>
      <c r="F122" s="39" t="n"/>
      <c r="G122" s="2" t="n"/>
      <c r="H122" s="2" t="n"/>
      <c r="I122" s="39" t="n"/>
      <c r="J122" s="50">
        <f>IFERROR(IF(G122="","",ROUNDDOWN(IF($G122="","",(inception_date-$G122)/365.25),0)),0)</f>
        <v/>
      </c>
      <c r="K122" s="37">
        <f>IF(I122="","",IF($AM$3=1,IFERROR(IF(J122=FALSE,"",VLOOKUP(J122,$AJ$1:$AK$18,2,1)),""),IFERROR(IF(J122 = "FALSE","",VLOOKUP(J122,#REF!,2,TRUE)),"")))</f>
        <v/>
      </c>
      <c r="L122" s="37" t="n"/>
      <c r="M122" s="37" t="n"/>
      <c r="N122" s="37" t="n"/>
      <c r="O122" s="41">
        <f>IF(C122="","",IF(R122=1,"Yes","No"))</f>
        <v/>
      </c>
      <c r="P122" s="51">
        <f>IFERROR(IF(C122="","",IF(AND(Census!C122="E",Census!J122&gt;=18,Census!J122&lt;=65),"Yes","No")),"ERROR")</f>
        <v/>
      </c>
      <c r="Q122" s="52">
        <f>IFERROR(IF(C122="","",IF(AND(Census!C122="E",Census!J122&gt;=18,Census!J122&lt;=64),"Yes","No")),"ERROR")</f>
        <v/>
      </c>
      <c r="R122" s="53">
        <f>IF(OR(AB122&lt;&gt;1,AC122&lt;&gt;1,AD122&lt;&gt;1,AF122&lt;&gt;1,AE122&lt;&gt;1,AG122&lt;&gt;1),-1,1)</f>
        <v/>
      </c>
      <c r="S122" s="54">
        <f>AB122</f>
        <v/>
      </c>
      <c r="T122" s="55">
        <f>AC122</f>
        <v/>
      </c>
      <c r="U122" s="55">
        <f>AD122</f>
        <v/>
      </c>
      <c r="V122" s="55">
        <f>AE122</f>
        <v/>
      </c>
      <c r="W122" s="55">
        <f>AF122</f>
        <v/>
      </c>
      <c r="X122" s="56">
        <f>AG122</f>
        <v/>
      </c>
      <c r="Y122" s="10" t="n"/>
      <c r="Z122" s="64" t="inlineStr">
        <is>
          <t>Gulf Countries</t>
        </is>
      </c>
      <c r="AA122" s="10" t="n"/>
      <c r="AB122">
        <f>IFERROR(IF(OR(B122=0,B122=""),0,1),0)</f>
        <v/>
      </c>
      <c r="AC122">
        <f>IFERROR(IF(OR(C122="S",C122="D"),IF(AND(C122="D",D122="F"),1,IF(AND(C122="S",D122="M"),1,0)),IF(OR(C122="W",C122="H"),IF(OR(AND(C122="W",D122="F"),AND(C122="H",D122="M")),1,),IF(OR(D122="M",D122="F"),1,0))),0)</f>
        <v/>
      </c>
      <c r="AD122">
        <f>IFERROR(IF(OR(C122="E",C122="W",C122="H"),1,IF(C122 = "S",IF(D122="M",1,0),IF(D122 = "F",1,0))),0)</f>
        <v/>
      </c>
      <c r="AE122">
        <f>IFERROR(IF(OR(E122="M",E122="S"),IF(E122="M",IF(OR(C122="S",C122 = "D"),0,1),IF(OR(C122="W",C122="H"),0,1)),0),0)</f>
        <v/>
      </c>
      <c r="AF122">
        <f>IF(G122="",-1,IF(AND(G122&lt;=TODAY(),ISNUMBER(DATE(YEAR(G122),MONTH(G122),DAY(G122)))),IF(AND(OR(C122="S",C122="D"),J122&gt;24),-1,1),-1))</f>
        <v/>
      </c>
      <c r="AG122">
        <f>IF(OR(I122="CAT 1",I122="CAT 2",I122="CAT 3",I122="CAT 4"),1,0)</f>
        <v/>
      </c>
      <c r="AH122">
        <f>PRODUCT(AF122:AG122)*AE122</f>
        <v/>
      </c>
    </row>
    <row r="123" customFormat="1" s="12">
      <c r="A123" s="42" t="n">
        <v>122</v>
      </c>
      <c r="B123" s="43" t="n"/>
      <c r="C123" s="44" t="n"/>
      <c r="D123" s="45" t="n"/>
      <c r="E123" s="45" t="n"/>
      <c r="F123" s="39" t="n"/>
      <c r="G123" s="3" t="n"/>
      <c r="H123" s="3" t="n"/>
      <c r="I123" s="44" t="n"/>
      <c r="J123" s="42">
        <f>IFERROR(IF(G123="","",ROUNDDOWN(IF($G123="","",(inception_date-$G123)/365.25),0)),0)</f>
        <v/>
      </c>
      <c r="K123" s="42">
        <f>IF(I123="","",IF($AM$3=1,IFERROR(IF(J123=FALSE,"",VLOOKUP(J123,$AJ$1:$AK$18,2,1)),""),IFERROR(IF(J123 = "FALSE","",VLOOKUP(J123,#REF!,2,TRUE)),"")))</f>
        <v/>
      </c>
      <c r="L123" s="42" t="n"/>
      <c r="M123" s="42" t="n"/>
      <c r="N123" s="42" t="n"/>
      <c r="O123" s="46">
        <f>IF(C123="","",IF(R123=1,"Yes","No"))</f>
        <v/>
      </c>
      <c r="P123" s="57">
        <f>IFERROR(IF(C123="","",IF(AND(Census!C123="E",Census!J123&gt;=18,Census!J123&lt;=65),"Yes","No")),"ERROR")</f>
        <v/>
      </c>
      <c r="Q123" s="58">
        <f>IFERROR(IF(C123="","",IF(AND(Census!C123="E",Census!J123&gt;=18,Census!J123&lt;=64),"Yes","No")),"ERROR")</f>
        <v/>
      </c>
      <c r="R123" s="59">
        <f>IF(OR(AB123&lt;&gt;1,AC123&lt;&gt;1,AD123&lt;&gt;1,AF123&lt;&gt;1,AE123&lt;&gt;1,AG123&lt;&gt;1),-1,1)</f>
        <v/>
      </c>
      <c r="S123" s="60">
        <f>AB123</f>
        <v/>
      </c>
      <c r="T123" s="61">
        <f>AC123</f>
        <v/>
      </c>
      <c r="U123" s="61">
        <f>AD123</f>
        <v/>
      </c>
      <c r="V123" s="61">
        <f>AE123</f>
        <v/>
      </c>
      <c r="W123" s="61">
        <f>AF123</f>
        <v/>
      </c>
      <c r="X123" s="62">
        <f>AG123</f>
        <v/>
      </c>
      <c r="Y123" s="10" t="n"/>
      <c r="Z123" s="64" t="inlineStr">
        <is>
          <t>Guyanese</t>
        </is>
      </c>
      <c r="AA123" s="10" t="n"/>
      <c r="AB123">
        <f>IFERROR(IF(OR(B123=0,B123=""),0,1),0)</f>
        <v/>
      </c>
      <c r="AC123">
        <f>IFERROR(IF(OR(C123="S",C123="D"),IF(AND(C123="D",D123="F"),1,IF(AND(C123="S",D123="M"),1,0)),IF(OR(C123="W",C123="H"),IF(OR(AND(C123="W",D123="F"),AND(C123="H",D123="M")),1,),IF(OR(D123="M",D123="F"),1,0))),0)</f>
        <v/>
      </c>
      <c r="AD123">
        <f>IFERROR(IF(OR(C123="E",C123="W",C123="H"),1,IF(C123 = "S",IF(D123="M",1,0),IF(D123 = "F",1,0))),0)</f>
        <v/>
      </c>
      <c r="AE123">
        <f>IFERROR(IF(OR(E123="M",E123="S"),IF(E123="M",IF(OR(C123="S",C123 = "D"),0,1),IF(OR(C123="W",C123="H"),0,1)),0),0)</f>
        <v/>
      </c>
      <c r="AF123">
        <f>IF(G123="",-1,IF(AND(G123&lt;=TODAY(),ISNUMBER(DATE(YEAR(G123),MONTH(G123),DAY(G123)))),IF(AND(OR(C123="S",C123="D"),J123&gt;24),-1,1),-1))</f>
        <v/>
      </c>
      <c r="AG123">
        <f>IF(OR(I123="CAT 1",I123="CAT 2",I123="CAT 3",I123="CAT 4"),1,0)</f>
        <v/>
      </c>
      <c r="AH123">
        <f>PRODUCT(AF123:AG123)*AE123</f>
        <v/>
      </c>
    </row>
    <row r="124" customFormat="1" s="12">
      <c r="A124" s="37" t="n">
        <v>123</v>
      </c>
      <c r="B124" s="38" t="n"/>
      <c r="C124" s="39" t="n"/>
      <c r="D124" s="40" t="n"/>
      <c r="E124" s="40" t="n"/>
      <c r="F124" s="39" t="n"/>
      <c r="G124" s="2" t="n"/>
      <c r="H124" s="2" t="n"/>
      <c r="I124" s="39" t="n"/>
      <c r="J124" s="50">
        <f>IFERROR(IF(G124="","",ROUNDDOWN(IF($G124="","",(inception_date-$G124)/365.25),0)),0)</f>
        <v/>
      </c>
      <c r="K124" s="37">
        <f>IF(I124="","",IF($AM$3=1,IFERROR(IF(J124=FALSE,"",VLOOKUP(J124,$AJ$1:$AK$18,2,1)),""),IFERROR(IF(J124 = "FALSE","",VLOOKUP(J124,#REF!,2,TRUE)),"")))</f>
        <v/>
      </c>
      <c r="L124" s="37" t="n"/>
      <c r="M124" s="37" t="n"/>
      <c r="N124" s="37" t="n"/>
      <c r="O124" s="41">
        <f>IF(C124="","",IF(R124=1,"Yes","No"))</f>
        <v/>
      </c>
      <c r="P124" s="51">
        <f>IFERROR(IF(C124="","",IF(AND(Census!C124="E",Census!J124&gt;=18,Census!J124&lt;=65),"Yes","No")),"ERROR")</f>
        <v/>
      </c>
      <c r="Q124" s="52">
        <f>IFERROR(IF(C124="","",IF(AND(Census!C124="E",Census!J124&gt;=18,Census!J124&lt;=64),"Yes","No")),"ERROR")</f>
        <v/>
      </c>
      <c r="R124" s="53">
        <f>IF(OR(AB124&lt;&gt;1,AC124&lt;&gt;1,AD124&lt;&gt;1,AF124&lt;&gt;1,AE124&lt;&gt;1,AG124&lt;&gt;1),-1,1)</f>
        <v/>
      </c>
      <c r="S124" s="54">
        <f>AB124</f>
        <v/>
      </c>
      <c r="T124" s="55">
        <f>AC124</f>
        <v/>
      </c>
      <c r="U124" s="55">
        <f>AD124</f>
        <v/>
      </c>
      <c r="V124" s="55">
        <f>AE124</f>
        <v/>
      </c>
      <c r="W124" s="55">
        <f>AF124</f>
        <v/>
      </c>
      <c r="X124" s="56">
        <f>AG124</f>
        <v/>
      </c>
      <c r="Y124" s="10" t="n"/>
      <c r="Z124" s="64" t="inlineStr">
        <is>
          <t>Haitian</t>
        </is>
      </c>
      <c r="AA124" s="10" t="n"/>
      <c r="AB124">
        <f>IFERROR(IF(OR(B124=0,B124=""),0,1),0)</f>
        <v/>
      </c>
      <c r="AC124">
        <f>IFERROR(IF(OR(C124="S",C124="D"),IF(AND(C124="D",D124="F"),1,IF(AND(C124="S",D124="M"),1,0)),IF(OR(C124="W",C124="H"),IF(OR(AND(C124="W",D124="F"),AND(C124="H",D124="M")),1,),IF(OR(D124="M",D124="F"),1,0))),0)</f>
        <v/>
      </c>
      <c r="AD124">
        <f>IFERROR(IF(OR(C124="E",C124="W",C124="H"),1,IF(C124 = "S",IF(D124="M",1,0),IF(D124 = "F",1,0))),0)</f>
        <v/>
      </c>
      <c r="AE124">
        <f>IFERROR(IF(OR(E124="M",E124="S"),IF(E124="M",IF(OR(C124="S",C124 = "D"),0,1),IF(OR(C124="W",C124="H"),0,1)),0),0)</f>
        <v/>
      </c>
      <c r="AF124">
        <f>IF(G124="",-1,IF(AND(G124&lt;=TODAY(),ISNUMBER(DATE(YEAR(G124),MONTH(G124),DAY(G124)))),IF(AND(OR(C124="S",C124="D"),J124&gt;24),-1,1),-1))</f>
        <v/>
      </c>
      <c r="AG124">
        <f>IF(OR(I124="CAT 1",I124="CAT 2",I124="CAT 3",I124="CAT 4"),1,0)</f>
        <v/>
      </c>
      <c r="AH124">
        <f>PRODUCT(AF124:AG124)*AE124</f>
        <v/>
      </c>
    </row>
    <row r="125" customFormat="1" s="12">
      <c r="A125" s="42" t="n">
        <v>124</v>
      </c>
      <c r="B125" s="43" t="n"/>
      <c r="C125" s="44" t="n"/>
      <c r="D125" s="45" t="n"/>
      <c r="E125" s="45" t="n"/>
      <c r="F125" s="39" t="n"/>
      <c r="G125" s="3" t="n"/>
      <c r="H125" s="3" t="n"/>
      <c r="I125" s="44" t="n"/>
      <c r="J125" s="42">
        <f>IFERROR(IF(G125="","",ROUNDDOWN(IF($G125="","",(inception_date-$G125)/365.25),0)),0)</f>
        <v/>
      </c>
      <c r="K125" s="42">
        <f>IF(I125="","",IF($AM$3=1,IFERROR(IF(J125=FALSE,"",VLOOKUP(J125,$AJ$1:$AK$18,2,1)),""),IFERROR(IF(J125 = "FALSE","",VLOOKUP(J125,#REF!,2,TRUE)),"")))</f>
        <v/>
      </c>
      <c r="L125" s="42" t="n"/>
      <c r="M125" s="42" t="n"/>
      <c r="N125" s="42" t="n"/>
      <c r="O125" s="46">
        <f>IF(C125="","",IF(R125=1,"Yes","No"))</f>
        <v/>
      </c>
      <c r="P125" s="57">
        <f>IFERROR(IF(C125="","",IF(AND(Census!C125="E",Census!J125&gt;=18,Census!J125&lt;=65),"Yes","No")),"ERROR")</f>
        <v/>
      </c>
      <c r="Q125" s="58">
        <f>IFERROR(IF(C125="","",IF(AND(Census!C125="E",Census!J125&gt;=18,Census!J125&lt;=64),"Yes","No")),"ERROR")</f>
        <v/>
      </c>
      <c r="R125" s="59">
        <f>IF(OR(AB125&lt;&gt;1,AC125&lt;&gt;1,AD125&lt;&gt;1,AF125&lt;&gt;1,AE125&lt;&gt;1,AG125&lt;&gt;1),-1,1)</f>
        <v/>
      </c>
      <c r="S125" s="60">
        <f>AB125</f>
        <v/>
      </c>
      <c r="T125" s="61">
        <f>AC125</f>
        <v/>
      </c>
      <c r="U125" s="61">
        <f>AD125</f>
        <v/>
      </c>
      <c r="V125" s="61">
        <f>AE125</f>
        <v/>
      </c>
      <c r="W125" s="61">
        <f>AF125</f>
        <v/>
      </c>
      <c r="X125" s="62">
        <f>AG125</f>
        <v/>
      </c>
      <c r="Y125" s="10" t="n"/>
      <c r="Z125" s="64" t="inlineStr">
        <is>
          <t>Heard Island And Mcdonald Islands</t>
        </is>
      </c>
      <c r="AA125" s="10" t="n"/>
      <c r="AB125">
        <f>IFERROR(IF(OR(B125=0,B125=""),0,1),0)</f>
        <v/>
      </c>
      <c r="AC125">
        <f>IFERROR(IF(OR(C125="S",C125="D"),IF(AND(C125="D",D125="F"),1,IF(AND(C125="S",D125="M"),1,0)),IF(OR(C125="W",C125="H"),IF(OR(AND(C125="W",D125="F"),AND(C125="H",D125="M")),1,),IF(OR(D125="M",D125="F"),1,0))),0)</f>
        <v/>
      </c>
      <c r="AD125">
        <f>IFERROR(IF(OR(C125="E",C125="W",C125="H"),1,IF(C125 = "S",IF(D125="M",1,0),IF(D125 = "F",1,0))),0)</f>
        <v/>
      </c>
      <c r="AE125">
        <f>IFERROR(IF(OR(E125="M",E125="S"),IF(E125="M",IF(OR(C125="S",C125 = "D"),0,1),IF(OR(C125="W",C125="H"),0,1)),0),0)</f>
        <v/>
      </c>
      <c r="AF125">
        <f>IF(G125="",-1,IF(AND(G125&lt;=TODAY(),ISNUMBER(DATE(YEAR(G125),MONTH(G125),DAY(G125)))),IF(AND(OR(C125="S",C125="D"),J125&gt;24),-1,1),-1))</f>
        <v/>
      </c>
      <c r="AG125">
        <f>IF(OR(I125="CAT 1",I125="CAT 2",I125="CAT 3",I125="CAT 4"),1,0)</f>
        <v/>
      </c>
      <c r="AH125">
        <f>PRODUCT(AF125:AG125)*AE125</f>
        <v/>
      </c>
    </row>
    <row r="126" customFormat="1" s="12">
      <c r="A126" s="37" t="n">
        <v>125</v>
      </c>
      <c r="B126" s="38" t="n"/>
      <c r="C126" s="39" t="n"/>
      <c r="D126" s="40" t="n"/>
      <c r="E126" s="40" t="n"/>
      <c r="F126" s="39" t="n"/>
      <c r="G126" s="2" t="n"/>
      <c r="H126" s="2" t="n"/>
      <c r="I126" s="39" t="n"/>
      <c r="J126" s="50">
        <f>IFERROR(IF(G126="","",ROUNDDOWN(IF($G126="","",(inception_date-$G126)/365.25),0)),0)</f>
        <v/>
      </c>
      <c r="K126" s="37">
        <f>IF(I126="","",IF($AM$3=1,IFERROR(IF(J126=FALSE,"",VLOOKUP(J126,$AJ$1:$AK$18,2,1)),""),IFERROR(IF(J126 = "FALSE","",VLOOKUP(J126,#REF!,2,TRUE)),"")))</f>
        <v/>
      </c>
      <c r="L126" s="37" t="n"/>
      <c r="M126" s="37" t="n"/>
      <c r="N126" s="37" t="n"/>
      <c r="O126" s="41">
        <f>IF(C126="","",IF(R126=1,"Yes","No"))</f>
        <v/>
      </c>
      <c r="P126" s="51">
        <f>IFERROR(IF(C126="","",IF(AND(Census!C126="E",Census!J126&gt;=18,Census!J126&lt;=65),"Yes","No")),"ERROR")</f>
        <v/>
      </c>
      <c r="Q126" s="52">
        <f>IFERROR(IF(C126="","",IF(AND(Census!C126="E",Census!J126&gt;=18,Census!J126&lt;=64),"Yes","No")),"ERROR")</f>
        <v/>
      </c>
      <c r="R126" s="53">
        <f>IF(OR(AB126&lt;&gt;1,AC126&lt;&gt;1,AD126&lt;&gt;1,AF126&lt;&gt;1,AE126&lt;&gt;1,AG126&lt;&gt;1),-1,1)</f>
        <v/>
      </c>
      <c r="S126" s="54">
        <f>AB126</f>
        <v/>
      </c>
      <c r="T126" s="55">
        <f>AC126</f>
        <v/>
      </c>
      <c r="U126" s="55">
        <f>AD126</f>
        <v/>
      </c>
      <c r="V126" s="55">
        <f>AE126</f>
        <v/>
      </c>
      <c r="W126" s="55">
        <f>AF126</f>
        <v/>
      </c>
      <c r="X126" s="56">
        <f>AG126</f>
        <v/>
      </c>
      <c r="Y126" s="10" t="n"/>
      <c r="Z126" s="64" t="inlineStr">
        <is>
          <t>Vatican City State</t>
        </is>
      </c>
      <c r="AA126" s="10" t="n"/>
      <c r="AB126">
        <f>IFERROR(IF(OR(B126=0,B126=""),0,1),0)</f>
        <v/>
      </c>
      <c r="AC126">
        <f>IFERROR(IF(OR(C126="S",C126="D"),IF(AND(C126="D",D126="F"),1,IF(AND(C126="S",D126="M"),1,0)),IF(OR(C126="W",C126="H"),IF(OR(AND(C126="W",D126="F"),AND(C126="H",D126="M")),1,),IF(OR(D126="M",D126="F"),1,0))),0)</f>
        <v/>
      </c>
      <c r="AD126">
        <f>IFERROR(IF(OR(C126="E",C126="W",C126="H"),1,IF(C126 = "S",IF(D126="M",1,0),IF(D126 = "F",1,0))),0)</f>
        <v/>
      </c>
      <c r="AE126">
        <f>IFERROR(IF(OR(E126="M",E126="S"),IF(E126="M",IF(OR(C126="S",C126 = "D"),0,1),IF(OR(C126="W",C126="H"),0,1)),0),0)</f>
        <v/>
      </c>
      <c r="AF126">
        <f>IF(G126="",-1,IF(AND(G126&lt;=TODAY(),ISNUMBER(DATE(YEAR(G126),MONTH(G126),DAY(G126)))),IF(AND(OR(C126="S",C126="D"),J126&gt;24),-1,1),-1))</f>
        <v/>
      </c>
      <c r="AG126">
        <f>IF(OR(I126="CAT 1",I126="CAT 2",I126="CAT 3",I126="CAT 4"),1,0)</f>
        <v/>
      </c>
      <c r="AH126">
        <f>PRODUCT(AF126:AG126)*AE126</f>
        <v/>
      </c>
    </row>
    <row r="127" customFormat="1" s="12">
      <c r="A127" s="42" t="n">
        <v>126</v>
      </c>
      <c r="B127" s="43" t="n"/>
      <c r="C127" s="44" t="n"/>
      <c r="D127" s="45" t="n"/>
      <c r="E127" s="45" t="n"/>
      <c r="F127" s="39" t="n"/>
      <c r="G127" s="3" t="n"/>
      <c r="H127" s="3" t="n"/>
      <c r="I127" s="44" t="n"/>
      <c r="J127" s="42">
        <f>IFERROR(IF(G127="","",ROUNDDOWN(IF($G127="","",(inception_date-$G127)/365.25),0)),0)</f>
        <v/>
      </c>
      <c r="K127" s="42">
        <f>IF(I127="","",IF($AM$3=1,IFERROR(IF(J127=FALSE,"",VLOOKUP(J127,$AJ$1:$AK$18,2,1)),""),IFERROR(IF(J127 = "FALSE","",VLOOKUP(J127,#REF!,2,TRUE)),"")))</f>
        <v/>
      </c>
      <c r="L127" s="42" t="n"/>
      <c r="M127" s="42" t="n"/>
      <c r="N127" s="42" t="n"/>
      <c r="O127" s="46">
        <f>IF(C127="","",IF(R127=1,"Yes","No"))</f>
        <v/>
      </c>
      <c r="P127" s="57">
        <f>IFERROR(IF(C127="","",IF(AND(Census!C127="E",Census!J127&gt;=18,Census!J127&lt;=65),"Yes","No")),"ERROR")</f>
        <v/>
      </c>
      <c r="Q127" s="58">
        <f>IFERROR(IF(C127="","",IF(AND(Census!C127="E",Census!J127&gt;=18,Census!J127&lt;=64),"Yes","No")),"ERROR")</f>
        <v/>
      </c>
      <c r="R127" s="59">
        <f>IF(OR(AB127&lt;&gt;1,AC127&lt;&gt;1,AD127&lt;&gt;1,AF127&lt;&gt;1,AE127&lt;&gt;1,AG127&lt;&gt;1),-1,1)</f>
        <v/>
      </c>
      <c r="S127" s="60">
        <f>AB127</f>
        <v/>
      </c>
      <c r="T127" s="61">
        <f>AC127</f>
        <v/>
      </c>
      <c r="U127" s="61">
        <f>AD127</f>
        <v/>
      </c>
      <c r="V127" s="61">
        <f>AE127</f>
        <v/>
      </c>
      <c r="W127" s="61">
        <f>AF127</f>
        <v/>
      </c>
      <c r="X127" s="62">
        <f>AG127</f>
        <v/>
      </c>
      <c r="Y127" s="10" t="n"/>
      <c r="Z127" s="64" t="inlineStr">
        <is>
          <t>Honduran</t>
        </is>
      </c>
      <c r="AA127" s="10" t="n"/>
      <c r="AB127">
        <f>IFERROR(IF(OR(B127=0,B127=""),0,1),0)</f>
        <v/>
      </c>
      <c r="AC127">
        <f>IFERROR(IF(OR(C127="S",C127="D"),IF(AND(C127="D",D127="F"),1,IF(AND(C127="S",D127="M"),1,0)),IF(OR(C127="W",C127="H"),IF(OR(AND(C127="W",D127="F"),AND(C127="H",D127="M")),1,),IF(OR(D127="M",D127="F"),1,0))),0)</f>
        <v/>
      </c>
      <c r="AD127">
        <f>IFERROR(IF(OR(C127="E",C127="W",C127="H"),1,IF(C127 = "S",IF(D127="M",1,0),IF(D127 = "F",1,0))),0)</f>
        <v/>
      </c>
      <c r="AE127">
        <f>IFERROR(IF(OR(E127="M",E127="S"),IF(E127="M",IF(OR(C127="S",C127 = "D"),0,1),IF(OR(C127="W",C127="H"),0,1)),0),0)</f>
        <v/>
      </c>
      <c r="AF127">
        <f>IF(G127="",-1,IF(AND(G127&lt;=TODAY(),ISNUMBER(DATE(YEAR(G127),MONTH(G127),DAY(G127)))),IF(AND(OR(C127="S",C127="D"),J127&gt;24),-1,1),-1))</f>
        <v/>
      </c>
      <c r="AG127">
        <f>IF(OR(I127="CAT 1",I127="CAT 2",I127="CAT 3",I127="CAT 4"),1,0)</f>
        <v/>
      </c>
      <c r="AH127">
        <f>PRODUCT(AF127:AG127)*AE127</f>
        <v/>
      </c>
    </row>
    <row r="128" customFormat="1" s="12">
      <c r="A128" s="37" t="n">
        <v>127</v>
      </c>
      <c r="B128" s="38" t="n"/>
      <c r="C128" s="39" t="n"/>
      <c r="D128" s="40" t="n"/>
      <c r="E128" s="40" t="n"/>
      <c r="F128" s="39" t="n"/>
      <c r="G128" s="2" t="n"/>
      <c r="H128" s="2" t="n"/>
      <c r="I128" s="39" t="n"/>
      <c r="J128" s="50">
        <f>IFERROR(IF(G128="","",ROUNDDOWN(IF($G128="","",(inception_date-$G128)/365.25),0)),0)</f>
        <v/>
      </c>
      <c r="K128" s="37">
        <f>IF(I128="","",IF($AM$3=1,IFERROR(IF(J128=FALSE,"",VLOOKUP(J128,$AJ$1:$AK$18,2,1)),""),IFERROR(IF(J128 = "FALSE","",VLOOKUP(J128,#REF!,2,TRUE)),"")))</f>
        <v/>
      </c>
      <c r="L128" s="37" t="n"/>
      <c r="M128" s="37" t="n"/>
      <c r="N128" s="37" t="n"/>
      <c r="O128" s="41">
        <f>IF(C128="","",IF(R128=1,"Yes","No"))</f>
        <v/>
      </c>
      <c r="P128" s="51">
        <f>IFERROR(IF(C128="","",IF(AND(Census!C128="E",Census!J128&gt;=18,Census!J128&lt;=65),"Yes","No")),"ERROR")</f>
        <v/>
      </c>
      <c r="Q128" s="52">
        <f>IFERROR(IF(C128="","",IF(AND(Census!C128="E",Census!J128&gt;=18,Census!J128&lt;=64),"Yes","No")),"ERROR")</f>
        <v/>
      </c>
      <c r="R128" s="53">
        <f>IF(OR(AB128&lt;&gt;1,AC128&lt;&gt;1,AD128&lt;&gt;1,AF128&lt;&gt;1,AE128&lt;&gt;1,AG128&lt;&gt;1),-1,1)</f>
        <v/>
      </c>
      <c r="S128" s="54">
        <f>AB128</f>
        <v/>
      </c>
      <c r="T128" s="55">
        <f>AC128</f>
        <v/>
      </c>
      <c r="U128" s="55">
        <f>AD128</f>
        <v/>
      </c>
      <c r="V128" s="55">
        <f>AE128</f>
        <v/>
      </c>
      <c r="W128" s="55">
        <f>AF128</f>
        <v/>
      </c>
      <c r="X128" s="56">
        <f>AG128</f>
        <v/>
      </c>
      <c r="Y128" s="10" t="n"/>
      <c r="Z128" s="64" t="inlineStr">
        <is>
          <t>Hungarian</t>
        </is>
      </c>
      <c r="AA128" s="10" t="n"/>
      <c r="AB128">
        <f>IFERROR(IF(OR(B128=0,B128=""),0,1),0)</f>
        <v/>
      </c>
      <c r="AC128">
        <f>IFERROR(IF(OR(C128="S",C128="D"),IF(AND(C128="D",D128="F"),1,IF(AND(C128="S",D128="M"),1,0)),IF(OR(C128="W",C128="H"),IF(OR(AND(C128="W",D128="F"),AND(C128="H",D128="M")),1,),IF(OR(D128="M",D128="F"),1,0))),0)</f>
        <v/>
      </c>
      <c r="AD128">
        <f>IFERROR(IF(OR(C128="E",C128="W",C128="H"),1,IF(C128 = "S",IF(D128="M",1,0),IF(D128 = "F",1,0))),0)</f>
        <v/>
      </c>
      <c r="AE128">
        <f>IFERROR(IF(OR(E128="M",E128="S"),IF(E128="M",IF(OR(C128="S",C128 = "D"),0,1),IF(OR(C128="W",C128="H"),0,1)),0),0)</f>
        <v/>
      </c>
      <c r="AF128">
        <f>IF(G128="",-1,IF(AND(G128&lt;=TODAY(),ISNUMBER(DATE(YEAR(G128),MONTH(G128),DAY(G128)))),IF(AND(OR(C128="S",C128="D"),J128&gt;24),-1,1),-1))</f>
        <v/>
      </c>
      <c r="AG128">
        <f>IF(OR(I128="CAT 1",I128="CAT 2",I128="CAT 3",I128="CAT 4"),1,0)</f>
        <v/>
      </c>
      <c r="AH128">
        <f>PRODUCT(AF128:AG128)*AE128</f>
        <v/>
      </c>
    </row>
    <row r="129" customFormat="1" s="12">
      <c r="A129" s="42" t="n">
        <v>128</v>
      </c>
      <c r="B129" s="43" t="n"/>
      <c r="C129" s="44" t="n"/>
      <c r="D129" s="45" t="n"/>
      <c r="E129" s="45" t="n"/>
      <c r="F129" s="39" t="n"/>
      <c r="G129" s="3" t="n"/>
      <c r="H129" s="3" t="n"/>
      <c r="I129" s="44" t="n"/>
      <c r="J129" s="42">
        <f>IFERROR(IF(G129="","",ROUNDDOWN(IF($G129="","",(inception_date-$G129)/365.25),0)),0)</f>
        <v/>
      </c>
      <c r="K129" s="42">
        <f>IF(I129="","",IF($AM$3=1,IFERROR(IF(J129=FALSE,"",VLOOKUP(J129,$AJ$1:$AK$18,2,1)),""),IFERROR(IF(J129 = "FALSE","",VLOOKUP(J129,#REF!,2,TRUE)),"")))</f>
        <v/>
      </c>
      <c r="L129" s="42" t="n"/>
      <c r="M129" s="42" t="n"/>
      <c r="N129" s="42" t="n"/>
      <c r="O129" s="46">
        <f>IF(C129="","",IF(R129=1,"Yes","No"))</f>
        <v/>
      </c>
      <c r="P129" s="57">
        <f>IFERROR(IF(C129="","",IF(AND(Census!C129="E",Census!J129&gt;=18,Census!J129&lt;=65),"Yes","No")),"ERROR")</f>
        <v/>
      </c>
      <c r="Q129" s="58">
        <f>IFERROR(IF(C129="","",IF(AND(Census!C129="E",Census!J129&gt;=18,Census!J129&lt;=64),"Yes","No")),"ERROR")</f>
        <v/>
      </c>
      <c r="R129" s="59">
        <f>IF(OR(AB129&lt;&gt;1,AC129&lt;&gt;1,AD129&lt;&gt;1,AF129&lt;&gt;1,AE129&lt;&gt;1,AG129&lt;&gt;1),-1,1)</f>
        <v/>
      </c>
      <c r="S129" s="60">
        <f>AB129</f>
        <v/>
      </c>
      <c r="T129" s="61">
        <f>AC129</f>
        <v/>
      </c>
      <c r="U129" s="61">
        <f>AD129</f>
        <v/>
      </c>
      <c r="V129" s="61">
        <f>AE129</f>
        <v/>
      </c>
      <c r="W129" s="61">
        <f>AF129</f>
        <v/>
      </c>
      <c r="X129" s="62">
        <f>AG129</f>
        <v/>
      </c>
      <c r="Y129" s="10" t="n"/>
      <c r="Z129" s="64" t="inlineStr">
        <is>
          <t>Icelandic</t>
        </is>
      </c>
      <c r="AA129" s="10" t="n"/>
      <c r="AB129">
        <f>IFERROR(IF(OR(B129=0,B129=""),0,1),0)</f>
        <v/>
      </c>
      <c r="AC129">
        <f>IFERROR(IF(OR(C129="S",C129="D"),IF(AND(C129="D",D129="F"),1,IF(AND(C129="S",D129="M"),1,0)),IF(OR(C129="W",C129="H"),IF(OR(AND(C129="W",D129="F"),AND(C129="H",D129="M")),1,),IF(OR(D129="M",D129="F"),1,0))),0)</f>
        <v/>
      </c>
      <c r="AD129">
        <f>IFERROR(IF(OR(C129="E",C129="W",C129="H"),1,IF(C129 = "S",IF(D129="M",1,0),IF(D129 = "F",1,0))),0)</f>
        <v/>
      </c>
      <c r="AE129">
        <f>IFERROR(IF(OR(E129="M",E129="S"),IF(E129="M",IF(OR(C129="S",C129 = "D"),0,1),IF(OR(C129="W",C129="H"),0,1)),0),0)</f>
        <v/>
      </c>
      <c r="AF129">
        <f>IF(G129="",-1,IF(AND(G129&lt;=TODAY(),ISNUMBER(DATE(YEAR(G129),MONTH(G129),DAY(G129)))),IF(AND(OR(C129="S",C129="D"),J129&gt;24),-1,1),-1))</f>
        <v/>
      </c>
      <c r="AG129">
        <f>IF(OR(I129="CAT 1",I129="CAT 2",I129="CAT 3",I129="CAT 4"),1,0)</f>
        <v/>
      </c>
      <c r="AH129">
        <f>PRODUCT(AF129:AG129)*AE129</f>
        <v/>
      </c>
    </row>
    <row r="130" customFormat="1" s="12">
      <c r="A130" s="37" t="n">
        <v>129</v>
      </c>
      <c r="B130" s="38" t="n"/>
      <c r="C130" s="39" t="n"/>
      <c r="D130" s="40" t="n"/>
      <c r="E130" s="40" t="n"/>
      <c r="F130" s="39" t="n"/>
      <c r="G130" s="2" t="n"/>
      <c r="H130" s="2" t="n"/>
      <c r="I130" s="39" t="n"/>
      <c r="J130" s="50">
        <f>IFERROR(IF(G130="","",ROUNDDOWN(IF($G130="","",(inception_date-$G130)/365.25),0)),0)</f>
        <v/>
      </c>
      <c r="K130" s="37">
        <f>IF(I130="","",IF($AM$3=1,IFERROR(IF(J130=FALSE,"",VLOOKUP(J130,$AJ$1:$AK$18,2,1)),""),IFERROR(IF(J130 = "FALSE","",VLOOKUP(J130,#REF!,2,TRUE)),"")))</f>
        <v/>
      </c>
      <c r="L130" s="37" t="n"/>
      <c r="M130" s="37" t="n"/>
      <c r="N130" s="37" t="n"/>
      <c r="O130" s="41">
        <f>IF(C130="","",IF(R130=1,"Yes","No"))</f>
        <v/>
      </c>
      <c r="P130" s="51">
        <f>IFERROR(IF(C130="","",IF(AND(Census!C130="E",Census!J130&gt;=18,Census!J130&lt;=65),"Yes","No")),"ERROR")</f>
        <v/>
      </c>
      <c r="Q130" s="52">
        <f>IFERROR(IF(C130="","",IF(AND(Census!C130="E",Census!J130&gt;=18,Census!J130&lt;=64),"Yes","No")),"ERROR")</f>
        <v/>
      </c>
      <c r="R130" s="53">
        <f>IF(OR(AB130&lt;&gt;1,AC130&lt;&gt;1,AD130&lt;&gt;1,AF130&lt;&gt;1,AE130&lt;&gt;1,AG130&lt;&gt;1),-1,1)</f>
        <v/>
      </c>
      <c r="S130" s="54">
        <f>AB130</f>
        <v/>
      </c>
      <c r="T130" s="55">
        <f>AC130</f>
        <v/>
      </c>
      <c r="U130" s="55">
        <f>AD130</f>
        <v/>
      </c>
      <c r="V130" s="55">
        <f>AE130</f>
        <v/>
      </c>
      <c r="W130" s="55">
        <f>AF130</f>
        <v/>
      </c>
      <c r="X130" s="56">
        <f>AG130</f>
        <v/>
      </c>
      <c r="Y130" s="10" t="n"/>
      <c r="Z130" s="64" t="inlineStr">
        <is>
          <t>I-Kiribati</t>
        </is>
      </c>
      <c r="AA130" s="10" t="n"/>
      <c r="AB130">
        <f>IFERROR(IF(OR(B130=0,B130=""),0,1),0)</f>
        <v/>
      </c>
      <c r="AC130">
        <f>IFERROR(IF(OR(C130="S",C130="D"),IF(AND(C130="D",D130="F"),1,IF(AND(C130="S",D130="M"),1,0)),IF(OR(C130="W",C130="H"),IF(OR(AND(C130="W",D130="F"),AND(C130="H",D130="M")),1,),IF(OR(D130="M",D130="F"),1,0))),0)</f>
        <v/>
      </c>
      <c r="AD130">
        <f>IFERROR(IF(OR(C130="E",C130="W",C130="H"),1,IF(C130 = "S",IF(D130="M",1,0),IF(D130 = "F",1,0))),0)</f>
        <v/>
      </c>
      <c r="AE130">
        <f>IFERROR(IF(OR(E130="M",E130="S"),IF(E130="M",IF(OR(C130="S",C130 = "D"),0,1),IF(OR(C130="W",C130="H"),0,1)),0),0)</f>
        <v/>
      </c>
      <c r="AF130">
        <f>IF(G130="",-1,IF(AND(G130&lt;=TODAY(),ISNUMBER(DATE(YEAR(G130),MONTH(G130),DAY(G130)))),IF(AND(OR(C130="S",C130="D"),J130&gt;24),-1,1),-1))</f>
        <v/>
      </c>
      <c r="AG130">
        <f>IF(OR(I130="CAT 1",I130="CAT 2",I130="CAT 3",I130="CAT 4"),1,0)</f>
        <v/>
      </c>
      <c r="AH130">
        <f>PRODUCT(AF130:AG130)*AE130</f>
        <v/>
      </c>
    </row>
    <row r="131" ht="20.25" customFormat="1" customHeight="1" s="12">
      <c r="A131" s="42" t="n">
        <v>130</v>
      </c>
      <c r="B131" s="43" t="n"/>
      <c r="C131" s="44" t="n"/>
      <c r="D131" s="45" t="n"/>
      <c r="E131" s="45" t="n"/>
      <c r="F131" s="39" t="n"/>
      <c r="G131" s="3" t="n"/>
      <c r="H131" s="3" t="n"/>
      <c r="I131" s="44" t="n"/>
      <c r="J131" s="42">
        <f>IFERROR(IF(G131="","",ROUNDDOWN(IF($G131="","",(inception_date-$G131)/365.25),0)),0)</f>
        <v/>
      </c>
      <c r="K131" s="42">
        <f>IF(I131="","",IF($AM$3=1,IFERROR(IF(J131=FALSE,"",VLOOKUP(J131,$AJ$1:$AK$18,2,1)),""),IFERROR(IF(J131 = "FALSE","",VLOOKUP(J131,#REF!,2,TRUE)),"")))</f>
        <v/>
      </c>
      <c r="L131" s="42" t="n"/>
      <c r="M131" s="42" t="n"/>
      <c r="N131" s="42" t="n"/>
      <c r="O131" s="46">
        <f>IF(C131="","",IF(R131=1,"Yes","No"))</f>
        <v/>
      </c>
      <c r="P131" s="57">
        <f>IFERROR(IF(C131="","",IF(AND(Census!C131="E",Census!J131&gt;=18,Census!J131&lt;=65),"Yes","No")),"ERROR")</f>
        <v/>
      </c>
      <c r="Q131" s="58">
        <f>IFERROR(IF(C131="","",IF(AND(Census!C131="E",Census!J131&gt;=18,Census!J131&lt;=64),"Yes","No")),"ERROR")</f>
        <v/>
      </c>
      <c r="R131" s="59">
        <f>IF(OR(AB131&lt;&gt;1,AC131&lt;&gt;1,AD131&lt;&gt;1,AF131&lt;&gt;1,AE131&lt;&gt;1,AG131&lt;&gt;1),-1,1)</f>
        <v/>
      </c>
      <c r="S131" s="60">
        <f>AB131</f>
        <v/>
      </c>
      <c r="T131" s="61">
        <f>AC131</f>
        <v/>
      </c>
      <c r="U131" s="61">
        <f>AD131</f>
        <v/>
      </c>
      <c r="V131" s="61">
        <f>AE131</f>
        <v/>
      </c>
      <c r="W131" s="61">
        <f>AF131</f>
        <v/>
      </c>
      <c r="X131" s="62">
        <f>AG131</f>
        <v/>
      </c>
      <c r="Y131" s="10" t="n"/>
      <c r="Z131" s="64" t="inlineStr">
        <is>
          <t>Indian</t>
        </is>
      </c>
      <c r="AA131" s="10" t="n"/>
      <c r="AB131">
        <f>IFERROR(IF(OR(B131=0,B131=""),0,1),0)</f>
        <v/>
      </c>
      <c r="AC131">
        <f>IFERROR(IF(OR(C131="S",C131="D"),IF(AND(C131="D",D131="F"),1,IF(AND(C131="S",D131="M"),1,0)),IF(OR(C131="W",C131="H"),IF(OR(AND(C131="W",D131="F"),AND(C131="H",D131="M")),1,),IF(OR(D131="M",D131="F"),1,0))),0)</f>
        <v/>
      </c>
      <c r="AD131">
        <f>IFERROR(IF(OR(C131="E",C131="W",C131="H"),1,IF(C131 = "S",IF(D131="M",1,0),IF(D131 = "F",1,0))),0)</f>
        <v/>
      </c>
      <c r="AE131">
        <f>IFERROR(IF(OR(E131="M",E131="S"),IF(E131="M",IF(OR(C131="S",C131 = "D"),0,1),IF(OR(C131="W",C131="H"),0,1)),0),0)</f>
        <v/>
      </c>
      <c r="AF131">
        <f>IF(G131="",-1,IF(AND(G131&lt;=TODAY(),ISNUMBER(DATE(YEAR(G131),MONTH(G131),DAY(G131)))),IF(AND(OR(C131="S",C131="D"),J131&gt;24),-1,1),-1))</f>
        <v/>
      </c>
      <c r="AG131">
        <f>IF(OR(I131="CAT 1",I131="CAT 2",I131="CAT 3",I131="CAT 4"),1,0)</f>
        <v/>
      </c>
      <c r="AH131">
        <f>PRODUCT(AF131:AG131)*AE131</f>
        <v/>
      </c>
    </row>
    <row r="132" customFormat="1" s="12">
      <c r="A132" s="37" t="n">
        <v>131</v>
      </c>
      <c r="B132" s="38" t="n"/>
      <c r="C132" s="39" t="n"/>
      <c r="D132" s="40" t="n"/>
      <c r="E132" s="40" t="n"/>
      <c r="F132" s="39" t="n"/>
      <c r="G132" s="2" t="n"/>
      <c r="H132" s="2" t="n"/>
      <c r="I132" s="39" t="n"/>
      <c r="J132" s="50">
        <f>IFERROR(IF(G132="","",ROUNDDOWN(IF($G132="","",(inception_date-$G132)/365.25),0)),0)</f>
        <v/>
      </c>
      <c r="K132" s="37">
        <f>IF(I132="","",IF($AM$3=1,IFERROR(IF(J132=FALSE,"",VLOOKUP(J132,$AJ$1:$AK$18,2,1)),""),IFERROR(IF(J132 = "FALSE","",VLOOKUP(J132,#REF!,2,TRUE)),"")))</f>
        <v/>
      </c>
      <c r="L132" s="37" t="n"/>
      <c r="M132" s="37" t="n"/>
      <c r="N132" s="37" t="n"/>
      <c r="O132" s="41">
        <f>IF(C132="","",IF(R132=1,"Yes","No"))</f>
        <v/>
      </c>
      <c r="P132" s="51">
        <f>IFERROR(IF(C132="","",IF(AND(Census!C132="E",Census!J132&gt;=18,Census!J132&lt;=65),"Yes","No")),"ERROR")</f>
        <v/>
      </c>
      <c r="Q132" s="52">
        <f>IFERROR(IF(C132="","",IF(AND(Census!C132="E",Census!J132&gt;=18,Census!J132&lt;=64),"Yes","No")),"ERROR")</f>
        <v/>
      </c>
      <c r="R132" s="53">
        <f>IF(OR(AB132&lt;&gt;1,AC132&lt;&gt;1,AD132&lt;&gt;1,AF132&lt;&gt;1,AE132&lt;&gt;1,AG132&lt;&gt;1),-1,1)</f>
        <v/>
      </c>
      <c r="S132" s="54">
        <f>AB132</f>
        <v/>
      </c>
      <c r="T132" s="55">
        <f>AC132</f>
        <v/>
      </c>
      <c r="U132" s="55">
        <f>AD132</f>
        <v/>
      </c>
      <c r="V132" s="55">
        <f>AE132</f>
        <v/>
      </c>
      <c r="W132" s="55">
        <f>AF132</f>
        <v/>
      </c>
      <c r="X132" s="56">
        <f>AG132</f>
        <v/>
      </c>
      <c r="Y132" s="10" t="n"/>
      <c r="Z132" s="64" t="inlineStr">
        <is>
          <t>Indonesian</t>
        </is>
      </c>
      <c r="AA132" s="10" t="n"/>
      <c r="AB132">
        <f>IFERROR(IF(OR(B132=0,B132=""),0,1),0)</f>
        <v/>
      </c>
      <c r="AC132">
        <f>IFERROR(IF(OR(C132="S",C132="D"),IF(AND(C132="D",D132="F"),1,IF(AND(C132="S",D132="M"),1,0)),IF(OR(C132="W",C132="H"),IF(OR(AND(C132="W",D132="F"),AND(C132="H",D132="M")),1,),IF(OR(D132="M",D132="F"),1,0))),0)</f>
        <v/>
      </c>
      <c r="AD132">
        <f>IFERROR(IF(OR(C132="E",C132="W",C132="H"),1,IF(C132 = "S",IF(D132="M",1,0),IF(D132 = "F",1,0))),0)</f>
        <v/>
      </c>
      <c r="AE132">
        <f>IFERROR(IF(OR(E132="M",E132="S"),IF(E132="M",IF(OR(C132="S",C132 = "D"),0,1),IF(OR(C132="W",C132="H"),0,1)),0),0)</f>
        <v/>
      </c>
      <c r="AF132">
        <f>IF(G132="",-1,IF(AND(G132&lt;=TODAY(),ISNUMBER(DATE(YEAR(G132),MONTH(G132),DAY(G132)))),IF(AND(OR(C132="S",C132="D"),J132&gt;24),-1,1),-1))</f>
        <v/>
      </c>
      <c r="AG132">
        <f>IF(OR(I132="CAT 1",I132="CAT 2",I132="CAT 3",I132="CAT 4"),1,0)</f>
        <v/>
      </c>
      <c r="AH132">
        <f>PRODUCT(AF132:AG132)*AE132</f>
        <v/>
      </c>
    </row>
    <row r="133" customFormat="1" s="12">
      <c r="A133" s="42" t="n">
        <v>132</v>
      </c>
      <c r="B133" s="43" t="n"/>
      <c r="C133" s="44" t="n"/>
      <c r="D133" s="45" t="n"/>
      <c r="E133" s="45" t="n"/>
      <c r="F133" s="39" t="n"/>
      <c r="G133" s="3" t="n"/>
      <c r="H133" s="3" t="n"/>
      <c r="I133" s="44" t="n"/>
      <c r="J133" s="42">
        <f>IFERROR(IF(G133="","",ROUNDDOWN(IF($G133="","",(inception_date-$G133)/365.25),0)),0)</f>
        <v/>
      </c>
      <c r="K133" s="42">
        <f>IF(I133="","",IF($AM$3=1,IFERROR(IF(J133=FALSE,"",VLOOKUP(J133,$AJ$1:$AK$18,2,1)),""),IFERROR(IF(J133 = "FALSE","",VLOOKUP(J133,#REF!,2,TRUE)),"")))</f>
        <v/>
      </c>
      <c r="L133" s="42" t="n"/>
      <c r="M133" s="42" t="n"/>
      <c r="N133" s="42" t="n"/>
      <c r="O133" s="46">
        <f>IF(C133="","",IF(R133=1,"Yes","No"))</f>
        <v/>
      </c>
      <c r="P133" s="57">
        <f>IFERROR(IF(C133="","",IF(AND(Census!C133="E",Census!J133&gt;=18,Census!J133&lt;=65),"Yes","No")),"ERROR")</f>
        <v/>
      </c>
      <c r="Q133" s="58">
        <f>IFERROR(IF(C133="","",IF(AND(Census!C133="E",Census!J133&gt;=18,Census!J133&lt;=64),"Yes","No")),"ERROR")</f>
        <v/>
      </c>
      <c r="R133" s="59">
        <f>IF(OR(AB133&lt;&gt;1,AC133&lt;&gt;1,AD133&lt;&gt;1,AF133&lt;&gt;1,AE133&lt;&gt;1,AG133&lt;&gt;1),-1,1)</f>
        <v/>
      </c>
      <c r="S133" s="60">
        <f>AB133</f>
        <v/>
      </c>
      <c r="T133" s="61">
        <f>AC133</f>
        <v/>
      </c>
      <c r="U133" s="61">
        <f>AD133</f>
        <v/>
      </c>
      <c r="V133" s="61">
        <f>AE133</f>
        <v/>
      </c>
      <c r="W133" s="61">
        <f>AF133</f>
        <v/>
      </c>
      <c r="X133" s="62">
        <f>AG133</f>
        <v/>
      </c>
      <c r="Y133" s="10" t="n"/>
      <c r="Z133" s="64" t="inlineStr">
        <is>
          <t>Iranian</t>
        </is>
      </c>
      <c r="AA133" s="10" t="n"/>
      <c r="AB133">
        <f>IFERROR(IF(OR(B133=0,B133=""),0,1),0)</f>
        <v/>
      </c>
      <c r="AC133">
        <f>IFERROR(IF(OR(C133="S",C133="D"),IF(AND(C133="D",D133="F"),1,IF(AND(C133="S",D133="M"),1,0)),IF(OR(C133="W",C133="H"),IF(OR(AND(C133="W",D133="F"),AND(C133="H",D133="M")),1,),IF(OR(D133="M",D133="F"),1,0))),0)</f>
        <v/>
      </c>
      <c r="AD133">
        <f>IFERROR(IF(OR(C133="E",C133="W",C133="H"),1,IF(C133 = "S",IF(D133="M",1,0),IF(D133 = "F",1,0))),0)</f>
        <v/>
      </c>
      <c r="AE133">
        <f>IFERROR(IF(OR(E133="M",E133="S"),IF(E133="M",IF(OR(C133="S",C133 = "D"),0,1),IF(OR(C133="W",C133="H"),0,1)),0),0)</f>
        <v/>
      </c>
      <c r="AF133">
        <f>IF(G133="",-1,IF(AND(G133&lt;=TODAY(),ISNUMBER(DATE(YEAR(G133),MONTH(G133),DAY(G133)))),IF(AND(OR(C133="S",C133="D"),J133&gt;24),-1,1),-1))</f>
        <v/>
      </c>
      <c r="AG133">
        <f>IF(OR(I133="CAT 1",I133="CAT 2",I133="CAT 3",I133="CAT 4"),1,0)</f>
        <v/>
      </c>
      <c r="AH133">
        <f>PRODUCT(AF133:AG133)*AE133</f>
        <v/>
      </c>
    </row>
    <row r="134" customFormat="1" s="12">
      <c r="A134" s="37" t="n">
        <v>133</v>
      </c>
      <c r="B134" s="38" t="n"/>
      <c r="C134" s="39" t="n"/>
      <c r="D134" s="40" t="n"/>
      <c r="E134" s="40" t="n"/>
      <c r="F134" s="39" t="n"/>
      <c r="G134" s="2" t="n"/>
      <c r="H134" s="2" t="n"/>
      <c r="I134" s="39" t="n"/>
      <c r="J134" s="50">
        <f>IFERROR(IF(G134="","",ROUNDDOWN(IF($G134="","",(inception_date-$G134)/365.25),0)),0)</f>
        <v/>
      </c>
      <c r="K134" s="37">
        <f>IF(I134="","",IF($AM$3=1,IFERROR(IF(J134=FALSE,"",VLOOKUP(J134,$AJ$1:$AK$18,2,1)),""),IFERROR(IF(J134 = "FALSE","",VLOOKUP(J134,#REF!,2,TRUE)),"")))</f>
        <v/>
      </c>
      <c r="L134" s="37" t="n"/>
      <c r="M134" s="37" t="n"/>
      <c r="N134" s="37" t="n"/>
      <c r="O134" s="41">
        <f>IF(C134="","",IF(R134=1,"Yes","No"))</f>
        <v/>
      </c>
      <c r="P134" s="51">
        <f>IFERROR(IF(C134="","",IF(AND(Census!C134="E",Census!J134&gt;=18,Census!J134&lt;=65),"Yes","No")),"ERROR")</f>
        <v/>
      </c>
      <c r="Q134" s="52">
        <f>IFERROR(IF(C134="","",IF(AND(Census!C134="E",Census!J134&gt;=18,Census!J134&lt;=64),"Yes","No")),"ERROR")</f>
        <v/>
      </c>
      <c r="R134" s="53">
        <f>IF(OR(AB134&lt;&gt;1,AC134&lt;&gt;1,AD134&lt;&gt;1,AF134&lt;&gt;1,AE134&lt;&gt;1,AG134&lt;&gt;1),-1,1)</f>
        <v/>
      </c>
      <c r="S134" s="54">
        <f>AB134</f>
        <v/>
      </c>
      <c r="T134" s="55">
        <f>AC134</f>
        <v/>
      </c>
      <c r="U134" s="55">
        <f>AD134</f>
        <v/>
      </c>
      <c r="V134" s="55">
        <f>AE134</f>
        <v/>
      </c>
      <c r="W134" s="55">
        <f>AF134</f>
        <v/>
      </c>
      <c r="X134" s="56">
        <f>AG134</f>
        <v/>
      </c>
      <c r="Y134" s="10" t="n"/>
      <c r="Z134" s="64" t="inlineStr">
        <is>
          <t>Iraqi</t>
        </is>
      </c>
      <c r="AA134" s="10" t="n"/>
      <c r="AB134">
        <f>IFERROR(IF(OR(B134=0,B134=""),0,1),0)</f>
        <v/>
      </c>
      <c r="AC134">
        <f>IFERROR(IF(OR(C134="S",C134="D"),IF(AND(C134="D",D134="F"),1,IF(AND(C134="S",D134="M"),1,0)),IF(OR(C134="W",C134="H"),IF(OR(AND(C134="W",D134="F"),AND(C134="H",D134="M")),1,),IF(OR(D134="M",D134="F"),1,0))),0)</f>
        <v/>
      </c>
      <c r="AD134">
        <f>IFERROR(IF(OR(C134="E",C134="W",C134="H"),1,IF(C134 = "S",IF(D134="M",1,0),IF(D134 = "F",1,0))),0)</f>
        <v/>
      </c>
      <c r="AE134">
        <f>IFERROR(IF(OR(E134="M",E134="S"),IF(E134="M",IF(OR(C134="S",C134 = "D"),0,1),IF(OR(C134="W",C134="H"),0,1)),0),0)</f>
        <v/>
      </c>
      <c r="AF134">
        <f>IF(G134="",-1,IF(AND(G134&lt;=TODAY(),ISNUMBER(DATE(YEAR(G134),MONTH(G134),DAY(G134)))),IF(AND(OR(C134="S",C134="D"),J134&gt;24),-1,1),-1))</f>
        <v/>
      </c>
      <c r="AG134">
        <f>IF(OR(I134="CAT 1",I134="CAT 2",I134="CAT 3",I134="CAT 4"),1,0)</f>
        <v/>
      </c>
      <c r="AH134">
        <f>PRODUCT(AF134:AG134)*AE134</f>
        <v/>
      </c>
    </row>
    <row r="135" customFormat="1" s="12">
      <c r="A135" s="42" t="n">
        <v>134</v>
      </c>
      <c r="B135" s="43" t="n"/>
      <c r="C135" s="44" t="n"/>
      <c r="D135" s="45" t="n"/>
      <c r="E135" s="45" t="n"/>
      <c r="F135" s="39" t="n"/>
      <c r="G135" s="3" t="n"/>
      <c r="H135" s="3" t="n"/>
      <c r="I135" s="44" t="n"/>
      <c r="J135" s="42">
        <f>IFERROR(IF(G135="","",ROUNDDOWN(IF($G135="","",(inception_date-$G135)/365.25),0)),0)</f>
        <v/>
      </c>
      <c r="K135" s="42">
        <f>IF(I135="","",IF($AM$3=1,IFERROR(IF(J135=FALSE,"",VLOOKUP(J135,$AJ$1:$AK$18,2,1)),""),IFERROR(IF(J135 = "FALSE","",VLOOKUP(J135,#REF!,2,TRUE)),"")))</f>
        <v/>
      </c>
      <c r="L135" s="42" t="n"/>
      <c r="M135" s="42" t="n"/>
      <c r="N135" s="42" t="n"/>
      <c r="O135" s="46">
        <f>IF(C135="","",IF(R135=1,"Yes","No"))</f>
        <v/>
      </c>
      <c r="P135" s="57">
        <f>IFERROR(IF(C135="","",IF(AND(Census!C135="E",Census!J135&gt;=18,Census!J135&lt;=65),"Yes","No")),"ERROR")</f>
        <v/>
      </c>
      <c r="Q135" s="58">
        <f>IFERROR(IF(C135="","",IF(AND(Census!C135="E",Census!J135&gt;=18,Census!J135&lt;=64),"Yes","No")),"ERROR")</f>
        <v/>
      </c>
      <c r="R135" s="59">
        <f>IF(OR(AB135&lt;&gt;1,AC135&lt;&gt;1,AD135&lt;&gt;1,AF135&lt;&gt;1,AE135&lt;&gt;1,AG135&lt;&gt;1),-1,1)</f>
        <v/>
      </c>
      <c r="S135" s="60">
        <f>AB135</f>
        <v/>
      </c>
      <c r="T135" s="61">
        <f>AC135</f>
        <v/>
      </c>
      <c r="U135" s="61">
        <f>AD135</f>
        <v/>
      </c>
      <c r="V135" s="61">
        <f>AE135</f>
        <v/>
      </c>
      <c r="W135" s="61">
        <f>AF135</f>
        <v/>
      </c>
      <c r="X135" s="62">
        <f>AG135</f>
        <v/>
      </c>
      <c r="Y135" s="10" t="n"/>
      <c r="Z135" s="64" t="inlineStr">
        <is>
          <t>Irish</t>
        </is>
      </c>
      <c r="AA135" s="10" t="n"/>
      <c r="AB135">
        <f>IFERROR(IF(OR(B135=0,B135=""),0,1),0)</f>
        <v/>
      </c>
      <c r="AC135">
        <f>IFERROR(IF(OR(C135="S",C135="D"),IF(AND(C135="D",D135="F"),1,IF(AND(C135="S",D135="M"),1,0)),IF(OR(C135="W",C135="H"),IF(OR(AND(C135="W",D135="F"),AND(C135="H",D135="M")),1,),IF(OR(D135="M",D135="F"),1,0))),0)</f>
        <v/>
      </c>
      <c r="AD135">
        <f>IFERROR(IF(OR(C135="E",C135="W",C135="H"),1,IF(C135 = "S",IF(D135="M",1,0),IF(D135 = "F",1,0))),0)</f>
        <v/>
      </c>
      <c r="AE135">
        <f>IFERROR(IF(OR(E135="M",E135="S"),IF(E135="M",IF(OR(C135="S",C135 = "D"),0,1),IF(OR(C135="W",C135="H"),0,1)),0),0)</f>
        <v/>
      </c>
      <c r="AF135">
        <f>IF(G135="",-1,IF(AND(G135&lt;=TODAY(),ISNUMBER(DATE(YEAR(G135),MONTH(G135),DAY(G135)))),IF(AND(OR(C135="S",C135="D"),J135&gt;24),-1,1),-1))</f>
        <v/>
      </c>
      <c r="AG135">
        <f>IF(OR(I135="CAT 1",I135="CAT 2",I135="CAT 3",I135="CAT 4"),1,0)</f>
        <v/>
      </c>
      <c r="AH135">
        <f>PRODUCT(AF135:AG135)*AE135</f>
        <v/>
      </c>
    </row>
    <row r="136" customFormat="1" s="12">
      <c r="A136" s="37" t="n">
        <v>135</v>
      </c>
      <c r="B136" s="38" t="n"/>
      <c r="C136" s="39" t="n"/>
      <c r="D136" s="40" t="n"/>
      <c r="E136" s="40" t="n"/>
      <c r="F136" s="39" t="n"/>
      <c r="G136" s="2" t="n"/>
      <c r="H136" s="2" t="n"/>
      <c r="I136" s="39" t="n"/>
      <c r="J136" s="50">
        <f>IFERROR(IF(G136="","",ROUNDDOWN(IF($G136="","",(inception_date-$G136)/365.25),0)),0)</f>
        <v/>
      </c>
      <c r="K136" s="37">
        <f>IF(I136="","",IF($AM$3=1,IFERROR(IF(J136=FALSE,"",VLOOKUP(J136,$AJ$1:$AK$18,2,1)),""),IFERROR(IF(J136 = "FALSE","",VLOOKUP(J136,#REF!,2,TRUE)),"")))</f>
        <v/>
      </c>
      <c r="L136" s="37" t="n"/>
      <c r="M136" s="37" t="n"/>
      <c r="N136" s="37" t="n"/>
      <c r="O136" s="41">
        <f>IF(C136="","",IF(R136=1,"Yes","No"))</f>
        <v/>
      </c>
      <c r="P136" s="51">
        <f>IFERROR(IF(C136="","",IF(AND(Census!C136="E",Census!J136&gt;=18,Census!J136&lt;=65),"Yes","No")),"ERROR")</f>
        <v/>
      </c>
      <c r="Q136" s="52">
        <f>IFERROR(IF(C136="","",IF(AND(Census!C136="E",Census!J136&gt;=18,Census!J136&lt;=64),"Yes","No")),"ERROR")</f>
        <v/>
      </c>
      <c r="R136" s="53">
        <f>IF(OR(AB136&lt;&gt;1,AC136&lt;&gt;1,AD136&lt;&gt;1,AF136&lt;&gt;1,AE136&lt;&gt;1,AG136&lt;&gt;1),-1,1)</f>
        <v/>
      </c>
      <c r="S136" s="54">
        <f>AB136</f>
        <v/>
      </c>
      <c r="T136" s="55">
        <f>AC136</f>
        <v/>
      </c>
      <c r="U136" s="55">
        <f>AD136</f>
        <v/>
      </c>
      <c r="V136" s="55">
        <f>AE136</f>
        <v/>
      </c>
      <c r="W136" s="55">
        <f>AF136</f>
        <v/>
      </c>
      <c r="X136" s="56">
        <f>AG136</f>
        <v/>
      </c>
      <c r="Y136" s="10" t="n"/>
      <c r="Z136" s="64" t="inlineStr">
        <is>
          <t>Isle Of Man</t>
        </is>
      </c>
      <c r="AA136" s="10" t="n"/>
      <c r="AB136">
        <f>IFERROR(IF(OR(B136=0,B136=""),0,1),0)</f>
        <v/>
      </c>
      <c r="AC136">
        <f>IFERROR(IF(OR(C136="S",C136="D"),IF(AND(C136="D",D136="F"),1,IF(AND(C136="S",D136="M"),1,0)),IF(OR(C136="W",C136="H"),IF(OR(AND(C136="W",D136="F"),AND(C136="H",D136="M")),1,),IF(OR(D136="M",D136="F"),1,0))),0)</f>
        <v/>
      </c>
      <c r="AD136">
        <f>IFERROR(IF(OR(C136="E",C136="W",C136="H"),1,IF(C136 = "S",IF(D136="M",1,0),IF(D136 = "F",1,0))),0)</f>
        <v/>
      </c>
      <c r="AE136">
        <f>IFERROR(IF(OR(E136="M",E136="S"),IF(E136="M",IF(OR(C136="S",C136 = "D"),0,1),IF(OR(C136="W",C136="H"),0,1)),0),0)</f>
        <v/>
      </c>
      <c r="AF136">
        <f>IF(G136="",-1,IF(AND(G136&lt;=TODAY(),ISNUMBER(DATE(YEAR(G136),MONTH(G136),DAY(G136)))),IF(AND(OR(C136="S",C136="D"),J136&gt;24),-1,1),-1))</f>
        <v/>
      </c>
      <c r="AG136">
        <f>IF(OR(I136="CAT 1",I136="CAT 2",I136="CAT 3",I136="CAT 4"),1,0)</f>
        <v/>
      </c>
      <c r="AH136">
        <f>PRODUCT(AF136:AG136)*AE136</f>
        <v/>
      </c>
    </row>
    <row r="137" customFormat="1" s="12">
      <c r="A137" s="42" t="n">
        <v>136</v>
      </c>
      <c r="B137" s="43" t="n"/>
      <c r="C137" s="44" t="n"/>
      <c r="D137" s="45" t="n"/>
      <c r="E137" s="45" t="n"/>
      <c r="F137" s="39" t="n"/>
      <c r="G137" s="3" t="n"/>
      <c r="H137" s="3" t="n"/>
      <c r="I137" s="44" t="n"/>
      <c r="J137" s="42">
        <f>IFERROR(IF(G137="","",ROUNDDOWN(IF($G137="","",(inception_date-$G137)/365.25),0)),0)</f>
        <v/>
      </c>
      <c r="K137" s="42">
        <f>IF(I137="","",IF($AM$3=1,IFERROR(IF(J137=FALSE,"",VLOOKUP(J137,$AJ$1:$AK$18,2,1)),""),IFERROR(IF(J137 = "FALSE","",VLOOKUP(J137,#REF!,2,TRUE)),"")))</f>
        <v/>
      </c>
      <c r="L137" s="42" t="n"/>
      <c r="M137" s="42" t="n"/>
      <c r="N137" s="42" t="n"/>
      <c r="O137" s="46">
        <f>IF(C137="","",IF(R137=1,"Yes","No"))</f>
        <v/>
      </c>
      <c r="P137" s="57">
        <f>IFERROR(IF(C137="","",IF(AND(Census!C137="E",Census!J137&gt;=18,Census!J137&lt;=65),"Yes","No")),"ERROR")</f>
        <v/>
      </c>
      <c r="Q137" s="58">
        <f>IFERROR(IF(C137="","",IF(AND(Census!C137="E",Census!J137&gt;=18,Census!J137&lt;=64),"Yes","No")),"ERROR")</f>
        <v/>
      </c>
      <c r="R137" s="59">
        <f>IF(OR(AB137&lt;&gt;1,AC137&lt;&gt;1,AD137&lt;&gt;1,AF137&lt;&gt;1,AE137&lt;&gt;1,AG137&lt;&gt;1),-1,1)</f>
        <v/>
      </c>
      <c r="S137" s="60">
        <f>AB137</f>
        <v/>
      </c>
      <c r="T137" s="61">
        <f>AC137</f>
        <v/>
      </c>
      <c r="U137" s="61">
        <f>AD137</f>
        <v/>
      </c>
      <c r="V137" s="61">
        <f>AE137</f>
        <v/>
      </c>
      <c r="W137" s="61">
        <f>AF137</f>
        <v/>
      </c>
      <c r="X137" s="62">
        <f>AG137</f>
        <v/>
      </c>
      <c r="Y137" s="10" t="n"/>
      <c r="Z137" s="64" t="inlineStr">
        <is>
          <t>Israeli</t>
        </is>
      </c>
      <c r="AA137" s="10" t="n"/>
      <c r="AB137">
        <f>IFERROR(IF(OR(B137=0,B137=""),0,1),0)</f>
        <v/>
      </c>
      <c r="AC137">
        <f>IFERROR(IF(OR(C137="S",C137="D"),IF(AND(C137="D",D137="F"),1,IF(AND(C137="S",D137="M"),1,0)),IF(OR(C137="W",C137="H"),IF(OR(AND(C137="W",D137="F"),AND(C137="H",D137="M")),1,),IF(OR(D137="M",D137="F"),1,0))),0)</f>
        <v/>
      </c>
      <c r="AD137">
        <f>IFERROR(IF(OR(C137="E",C137="W",C137="H"),1,IF(C137 = "S",IF(D137="M",1,0),IF(D137 = "F",1,0))),0)</f>
        <v/>
      </c>
      <c r="AE137">
        <f>IFERROR(IF(OR(E137="M",E137="S"),IF(E137="M",IF(OR(C137="S",C137 = "D"),0,1),IF(OR(C137="W",C137="H"),0,1)),0),0)</f>
        <v/>
      </c>
      <c r="AF137">
        <f>IF(G137="",-1,IF(AND(G137&lt;=TODAY(),ISNUMBER(DATE(YEAR(G137),MONTH(G137),DAY(G137)))),IF(AND(OR(C137="S",C137="D"),J137&gt;24),-1,1),-1))</f>
        <v/>
      </c>
      <c r="AG137">
        <f>IF(OR(I137="CAT 1",I137="CAT 2",I137="CAT 3",I137="CAT 4"),1,0)</f>
        <v/>
      </c>
      <c r="AH137">
        <f>PRODUCT(AF137:AG137)*AE137</f>
        <v/>
      </c>
    </row>
    <row r="138" customFormat="1" s="12">
      <c r="A138" s="37" t="n">
        <v>137</v>
      </c>
      <c r="B138" s="38" t="n"/>
      <c r="C138" s="39" t="n"/>
      <c r="D138" s="40" t="n"/>
      <c r="E138" s="40" t="n"/>
      <c r="F138" s="39" t="n"/>
      <c r="G138" s="2" t="n"/>
      <c r="H138" s="2" t="n"/>
      <c r="I138" s="39" t="n"/>
      <c r="J138" s="50">
        <f>IFERROR(IF(G138="","",ROUNDDOWN(IF($G138="","",(inception_date-$G138)/365.25),0)),0)</f>
        <v/>
      </c>
      <c r="K138" s="37">
        <f>IF(I138="","",IF($AM$3=1,IFERROR(IF(J138=FALSE,"",VLOOKUP(J138,$AJ$1:$AK$18,2,1)),""),IFERROR(IF(J138 = "FALSE","",VLOOKUP(J138,#REF!,2,TRUE)),"")))</f>
        <v/>
      </c>
      <c r="L138" s="37" t="n"/>
      <c r="M138" s="37" t="n"/>
      <c r="N138" s="37" t="n"/>
      <c r="O138" s="41">
        <f>IF(C138="","",IF(R138=1,"Yes","No"))</f>
        <v/>
      </c>
      <c r="P138" s="51">
        <f>IFERROR(IF(C138="","",IF(AND(Census!C138="E",Census!J138&gt;=18,Census!J138&lt;=65),"Yes","No")),"ERROR")</f>
        <v/>
      </c>
      <c r="Q138" s="52">
        <f>IFERROR(IF(C138="","",IF(AND(Census!C138="E",Census!J138&gt;=18,Census!J138&lt;=64),"Yes","No")),"ERROR")</f>
        <v/>
      </c>
      <c r="R138" s="53">
        <f>IF(OR(AB138&lt;&gt;1,AC138&lt;&gt;1,AD138&lt;&gt;1,AF138&lt;&gt;1,AE138&lt;&gt;1,AG138&lt;&gt;1),-1,1)</f>
        <v/>
      </c>
      <c r="S138" s="54">
        <f>AB138</f>
        <v/>
      </c>
      <c r="T138" s="55">
        <f>AC138</f>
        <v/>
      </c>
      <c r="U138" s="55">
        <f>AD138</f>
        <v/>
      </c>
      <c r="V138" s="55">
        <f>AE138</f>
        <v/>
      </c>
      <c r="W138" s="55">
        <f>AF138</f>
        <v/>
      </c>
      <c r="X138" s="56">
        <f>AG138</f>
        <v/>
      </c>
      <c r="Y138" s="10" t="n"/>
      <c r="Z138" s="64" t="inlineStr">
        <is>
          <t>Italian</t>
        </is>
      </c>
      <c r="AA138" s="10" t="n"/>
      <c r="AB138">
        <f>IFERROR(IF(OR(B138=0,B138=""),0,1),0)</f>
        <v/>
      </c>
      <c r="AC138">
        <f>IFERROR(IF(OR(C138="S",C138="D"),IF(AND(C138="D",D138="F"),1,IF(AND(C138="S",D138="M"),1,0)),IF(OR(C138="W",C138="H"),IF(OR(AND(C138="W",D138="F"),AND(C138="H",D138="M")),1,),IF(OR(D138="M",D138="F"),1,0))),0)</f>
        <v/>
      </c>
      <c r="AD138">
        <f>IFERROR(IF(OR(C138="E",C138="W",C138="H"),1,IF(C138 = "S",IF(D138="M",1,0),IF(D138 = "F",1,0))),0)</f>
        <v/>
      </c>
      <c r="AE138">
        <f>IFERROR(IF(OR(E138="M",E138="S"),IF(E138="M",IF(OR(C138="S",C138 = "D"),0,1),IF(OR(C138="W",C138="H"),0,1)),0),0)</f>
        <v/>
      </c>
      <c r="AF138">
        <f>IF(G138="",-1,IF(AND(G138&lt;=TODAY(),ISNUMBER(DATE(YEAR(G138),MONTH(G138),DAY(G138)))),IF(AND(OR(C138="S",C138="D"),J138&gt;24),-1,1),-1))</f>
        <v/>
      </c>
      <c r="AG138">
        <f>IF(OR(I138="CAT 1",I138="CAT 2",I138="CAT 3",I138="CAT 4"),1,0)</f>
        <v/>
      </c>
      <c r="AH138">
        <f>PRODUCT(AF138:AG138)*AE138</f>
        <v/>
      </c>
    </row>
    <row r="139" customFormat="1" s="12">
      <c r="A139" s="42" t="n">
        <v>138</v>
      </c>
      <c r="B139" s="43" t="n"/>
      <c r="C139" s="44" t="n"/>
      <c r="D139" s="45" t="n"/>
      <c r="E139" s="45" t="n"/>
      <c r="F139" s="39" t="n"/>
      <c r="G139" s="3" t="n"/>
      <c r="H139" s="3" t="n"/>
      <c r="I139" s="44" t="n"/>
      <c r="J139" s="42">
        <f>IFERROR(IF(G139="","",ROUNDDOWN(IF($G139="","",(inception_date-$G139)/365.25),0)),0)</f>
        <v/>
      </c>
      <c r="K139" s="42">
        <f>IF(I139="","",IF($AM$3=1,IFERROR(IF(J139=FALSE,"",VLOOKUP(J139,$AJ$1:$AK$18,2,1)),""),IFERROR(IF(J139 = "FALSE","",VLOOKUP(J139,#REF!,2,TRUE)),"")))</f>
        <v/>
      </c>
      <c r="L139" s="42" t="n"/>
      <c r="M139" s="42" t="n"/>
      <c r="N139" s="42" t="n"/>
      <c r="O139" s="46">
        <f>IF(C139="","",IF(R139=1,"Yes","No"))</f>
        <v/>
      </c>
      <c r="P139" s="57">
        <f>IFERROR(IF(C139="","",IF(AND(Census!C139="E",Census!J139&gt;=18,Census!J139&lt;=65),"Yes","No")),"ERROR")</f>
        <v/>
      </c>
      <c r="Q139" s="58">
        <f>IFERROR(IF(C139="","",IF(AND(Census!C139="E",Census!J139&gt;=18,Census!J139&lt;=64),"Yes","No")),"ERROR")</f>
        <v/>
      </c>
      <c r="R139" s="59">
        <f>IF(OR(AB139&lt;&gt;1,AC139&lt;&gt;1,AD139&lt;&gt;1,AF139&lt;&gt;1,AE139&lt;&gt;1,AG139&lt;&gt;1),-1,1)</f>
        <v/>
      </c>
      <c r="S139" s="60">
        <f>AB139</f>
        <v/>
      </c>
      <c r="T139" s="61">
        <f>AC139</f>
        <v/>
      </c>
      <c r="U139" s="61">
        <f>AD139</f>
        <v/>
      </c>
      <c r="V139" s="61">
        <f>AE139</f>
        <v/>
      </c>
      <c r="W139" s="61">
        <f>AF139</f>
        <v/>
      </c>
      <c r="X139" s="62">
        <f>AG139</f>
        <v/>
      </c>
      <c r="Y139" s="10" t="n"/>
      <c r="Z139" s="64" t="inlineStr">
        <is>
          <t>Ivorian</t>
        </is>
      </c>
      <c r="AA139" s="10" t="n"/>
      <c r="AB139">
        <f>IFERROR(IF(OR(B139=0,B139=""),0,1),0)</f>
        <v/>
      </c>
      <c r="AC139">
        <f>IFERROR(IF(OR(C139="S",C139="D"),IF(AND(C139="D",D139="F"),1,IF(AND(C139="S",D139="M"),1,0)),IF(OR(C139="W",C139="H"),IF(OR(AND(C139="W",D139="F"),AND(C139="H",D139="M")),1,),IF(OR(D139="M",D139="F"),1,0))),0)</f>
        <v/>
      </c>
      <c r="AD139">
        <f>IFERROR(IF(OR(C139="E",C139="W",C139="H"),1,IF(C139 = "S",IF(D139="M",1,0),IF(D139 = "F",1,0))),0)</f>
        <v/>
      </c>
      <c r="AE139">
        <f>IFERROR(IF(OR(E139="M",E139="S"),IF(E139="M",IF(OR(C139="S",C139 = "D"),0,1),IF(OR(C139="W",C139="H"),0,1)),0),0)</f>
        <v/>
      </c>
      <c r="AF139">
        <f>IF(G139="",-1,IF(AND(G139&lt;=TODAY(),ISNUMBER(DATE(YEAR(G139),MONTH(G139),DAY(G139)))),IF(AND(OR(C139="S",C139="D"),J139&gt;24),-1,1),-1))</f>
        <v/>
      </c>
      <c r="AG139">
        <f>IF(OR(I139="CAT 1",I139="CAT 2",I139="CAT 3",I139="CAT 4"),1,0)</f>
        <v/>
      </c>
      <c r="AH139">
        <f>PRODUCT(AF139:AG139)*AE139</f>
        <v/>
      </c>
    </row>
    <row r="140" customFormat="1" s="12">
      <c r="A140" s="37" t="n">
        <v>139</v>
      </c>
      <c r="B140" s="38" t="n"/>
      <c r="C140" s="39" t="n"/>
      <c r="D140" s="40" t="n"/>
      <c r="E140" s="40" t="n"/>
      <c r="F140" s="39" t="n"/>
      <c r="G140" s="2" t="n"/>
      <c r="H140" s="2" t="n"/>
      <c r="I140" s="39" t="n"/>
      <c r="J140" s="50">
        <f>IFERROR(IF(G140="","",ROUNDDOWN(IF($G140="","",(inception_date-$G140)/365.25),0)),0)</f>
        <v/>
      </c>
      <c r="K140" s="37">
        <f>IF(I140="","",IF($AM$3=1,IFERROR(IF(J140=FALSE,"",VLOOKUP(J140,$AJ$1:$AK$18,2,1)),""),IFERROR(IF(J140 = "FALSE","",VLOOKUP(J140,#REF!,2,TRUE)),"")))</f>
        <v/>
      </c>
      <c r="L140" s="37" t="n"/>
      <c r="M140" s="37" t="n"/>
      <c r="N140" s="37" t="n"/>
      <c r="O140" s="41">
        <f>IF(C140="","",IF(R140=1,"Yes","No"))</f>
        <v/>
      </c>
      <c r="P140" s="51">
        <f>IFERROR(IF(C140="","",IF(AND(Census!C140="E",Census!J140&gt;=18,Census!J140&lt;=65),"Yes","No")),"ERROR")</f>
        <v/>
      </c>
      <c r="Q140" s="52">
        <f>IFERROR(IF(C140="","",IF(AND(Census!C140="E",Census!J140&gt;=18,Census!J140&lt;=64),"Yes","No")),"ERROR")</f>
        <v/>
      </c>
      <c r="R140" s="53">
        <f>IF(OR(AB140&lt;&gt;1,AC140&lt;&gt;1,AD140&lt;&gt;1,AF140&lt;&gt;1,AE140&lt;&gt;1,AG140&lt;&gt;1),-1,1)</f>
        <v/>
      </c>
      <c r="S140" s="54">
        <f>AB140</f>
        <v/>
      </c>
      <c r="T140" s="55">
        <f>AC140</f>
        <v/>
      </c>
      <c r="U140" s="55">
        <f>AD140</f>
        <v/>
      </c>
      <c r="V140" s="55">
        <f>AE140</f>
        <v/>
      </c>
      <c r="W140" s="55">
        <f>AF140</f>
        <v/>
      </c>
      <c r="X140" s="56">
        <f>AG140</f>
        <v/>
      </c>
      <c r="Y140" s="10" t="n"/>
      <c r="Z140" s="64" t="inlineStr">
        <is>
          <t>Jamaican</t>
        </is>
      </c>
      <c r="AA140" s="10" t="n"/>
      <c r="AB140">
        <f>IFERROR(IF(OR(B140=0,B140=""),0,1),0)</f>
        <v/>
      </c>
      <c r="AC140">
        <f>IFERROR(IF(OR(C140="S",C140="D"),IF(AND(C140="D",D140="F"),1,IF(AND(C140="S",D140="M"),1,0)),IF(OR(C140="W",C140="H"),IF(OR(AND(C140="W",D140="F"),AND(C140="H",D140="M")),1,),IF(OR(D140="M",D140="F"),1,0))),0)</f>
        <v/>
      </c>
      <c r="AD140">
        <f>IFERROR(IF(OR(C140="E",C140="W",C140="H"),1,IF(C140 = "S",IF(D140="M",1,0),IF(D140 = "F",1,0))),0)</f>
        <v/>
      </c>
      <c r="AE140">
        <f>IFERROR(IF(OR(E140="M",E140="S"),IF(E140="M",IF(OR(C140="S",C140 = "D"),0,1),IF(OR(C140="W",C140="H"),0,1)),0),0)</f>
        <v/>
      </c>
      <c r="AF140">
        <f>IF(G140="",-1,IF(AND(G140&lt;=TODAY(),ISNUMBER(DATE(YEAR(G140),MONTH(G140),DAY(G140)))),IF(AND(OR(C140="S",C140="D"),J140&gt;24),-1,1),-1))</f>
        <v/>
      </c>
      <c r="AG140">
        <f>IF(OR(I140="CAT 1",I140="CAT 2",I140="CAT 3",I140="CAT 4"),1,0)</f>
        <v/>
      </c>
      <c r="AH140">
        <f>PRODUCT(AF140:AG140)*AE140</f>
        <v/>
      </c>
    </row>
    <row r="141" customFormat="1" s="12">
      <c r="A141" s="42" t="n">
        <v>140</v>
      </c>
      <c r="B141" s="43" t="n"/>
      <c r="C141" s="44" t="n"/>
      <c r="D141" s="45" t="n"/>
      <c r="E141" s="45" t="n"/>
      <c r="F141" s="39" t="n"/>
      <c r="G141" s="3" t="n"/>
      <c r="H141" s="3" t="n"/>
      <c r="I141" s="44" t="n"/>
      <c r="J141" s="42">
        <f>IFERROR(IF(G141="","",ROUNDDOWN(IF($G141="","",(inception_date-$G141)/365.25),0)),0)</f>
        <v/>
      </c>
      <c r="K141" s="42">
        <f>IF(I141="","",IF($AM$3=1,IFERROR(IF(J141=FALSE,"",VLOOKUP(J141,$AJ$1:$AK$18,2,1)),""),IFERROR(IF(J141 = "FALSE","",VLOOKUP(J141,#REF!,2,TRUE)),"")))</f>
        <v/>
      </c>
      <c r="L141" s="42" t="n"/>
      <c r="M141" s="42" t="n"/>
      <c r="N141" s="42" t="n"/>
      <c r="O141" s="46">
        <f>IF(C141="","",IF(R141=1,"Yes","No"))</f>
        <v/>
      </c>
      <c r="P141" s="57">
        <f>IFERROR(IF(C141="","",IF(AND(Census!C141="E",Census!J141&gt;=18,Census!J141&lt;=65),"Yes","No")),"ERROR")</f>
        <v/>
      </c>
      <c r="Q141" s="58">
        <f>IFERROR(IF(C141="","",IF(AND(Census!C141="E",Census!J141&gt;=18,Census!J141&lt;=64),"Yes","No")),"ERROR")</f>
        <v/>
      </c>
      <c r="R141" s="59">
        <f>IF(OR(AB141&lt;&gt;1,AC141&lt;&gt;1,AD141&lt;&gt;1,AF141&lt;&gt;1,AE141&lt;&gt;1,AG141&lt;&gt;1),-1,1)</f>
        <v/>
      </c>
      <c r="S141" s="60">
        <f>AB141</f>
        <v/>
      </c>
      <c r="T141" s="61">
        <f>AC141</f>
        <v/>
      </c>
      <c r="U141" s="61">
        <f>AD141</f>
        <v/>
      </c>
      <c r="V141" s="61">
        <f>AE141</f>
        <v/>
      </c>
      <c r="W141" s="61">
        <f>AF141</f>
        <v/>
      </c>
      <c r="X141" s="62">
        <f>AG141</f>
        <v/>
      </c>
      <c r="Y141" s="10" t="n"/>
      <c r="Z141" s="64" t="inlineStr">
        <is>
          <t>Japanese</t>
        </is>
      </c>
      <c r="AA141" s="10" t="n"/>
      <c r="AB141">
        <f>IFERROR(IF(OR(B141=0,B141=""),0,1),0)</f>
        <v/>
      </c>
      <c r="AC141">
        <f>IFERROR(IF(OR(C141="S",C141="D"),IF(AND(C141="D",D141="F"),1,IF(AND(C141="S",D141="M"),1,0)),IF(OR(C141="W",C141="H"),IF(OR(AND(C141="W",D141="F"),AND(C141="H",D141="M")),1,),IF(OR(D141="M",D141="F"),1,0))),0)</f>
        <v/>
      </c>
      <c r="AD141">
        <f>IFERROR(IF(OR(C141="E",C141="W",C141="H"),1,IF(C141 = "S",IF(D141="M",1,0),IF(D141 = "F",1,0))),0)</f>
        <v/>
      </c>
      <c r="AE141">
        <f>IFERROR(IF(OR(E141="M",E141="S"),IF(E141="M",IF(OR(C141="S",C141 = "D"),0,1),IF(OR(C141="W",C141="H"),0,1)),0),0)</f>
        <v/>
      </c>
      <c r="AF141">
        <f>IF(G141="",-1,IF(AND(G141&lt;=TODAY(),ISNUMBER(DATE(YEAR(G141),MONTH(G141),DAY(G141)))),IF(AND(OR(C141="S",C141="D"),J141&gt;24),-1,1),-1))</f>
        <v/>
      </c>
      <c r="AG141">
        <f>IF(OR(I141="CAT 1",I141="CAT 2",I141="CAT 3",I141="CAT 4"),1,0)</f>
        <v/>
      </c>
      <c r="AH141">
        <f>PRODUCT(AF141:AG141)*AE141</f>
        <v/>
      </c>
    </row>
    <row r="142" customFormat="1" s="12">
      <c r="A142" s="37" t="n">
        <v>141</v>
      </c>
      <c r="B142" s="38" t="n"/>
      <c r="C142" s="39" t="n"/>
      <c r="D142" s="40" t="n"/>
      <c r="E142" s="40" t="n"/>
      <c r="F142" s="39" t="n"/>
      <c r="G142" s="2" t="n"/>
      <c r="H142" s="2" t="n"/>
      <c r="I142" s="39" t="n"/>
      <c r="J142" s="50">
        <f>IFERROR(IF(G142="","",ROUNDDOWN(IF($G142="","",(inception_date-$G142)/365.25),0)),0)</f>
        <v/>
      </c>
      <c r="K142" s="37">
        <f>IF(I142="","",IF($AM$3=1,IFERROR(IF(J142=FALSE,"",VLOOKUP(J142,$AJ$1:$AK$18,2,1)),""),IFERROR(IF(J142 = "FALSE","",VLOOKUP(J142,#REF!,2,TRUE)),"")))</f>
        <v/>
      </c>
      <c r="L142" s="37" t="n"/>
      <c r="M142" s="37" t="n"/>
      <c r="N142" s="37" t="n"/>
      <c r="O142" s="41">
        <f>IF(C142="","",IF(R142=1,"Yes","No"))</f>
        <v/>
      </c>
      <c r="P142" s="51">
        <f>IFERROR(IF(C142="","",IF(AND(Census!C142="E",Census!J142&gt;=18,Census!J142&lt;=65),"Yes","No")),"ERROR")</f>
        <v/>
      </c>
      <c r="Q142" s="52">
        <f>IFERROR(IF(C142="","",IF(AND(Census!C142="E",Census!J142&gt;=18,Census!J142&lt;=64),"Yes","No")),"ERROR")</f>
        <v/>
      </c>
      <c r="R142" s="53">
        <f>IF(OR(AB142&lt;&gt;1,AC142&lt;&gt;1,AD142&lt;&gt;1,AF142&lt;&gt;1,AE142&lt;&gt;1,AG142&lt;&gt;1),-1,1)</f>
        <v/>
      </c>
      <c r="S142" s="54">
        <f>AB142</f>
        <v/>
      </c>
      <c r="T142" s="55">
        <f>AC142</f>
        <v/>
      </c>
      <c r="U142" s="55">
        <f>AD142</f>
        <v/>
      </c>
      <c r="V142" s="55">
        <f>AE142</f>
        <v/>
      </c>
      <c r="W142" s="55">
        <f>AF142</f>
        <v/>
      </c>
      <c r="X142" s="56">
        <f>AG142</f>
        <v/>
      </c>
      <c r="Y142" s="10" t="n"/>
      <c r="Z142" s="64" t="inlineStr">
        <is>
          <t>Jordanian</t>
        </is>
      </c>
      <c r="AA142" s="10" t="n"/>
      <c r="AB142">
        <f>IFERROR(IF(OR(B142=0,B142=""),0,1),0)</f>
        <v/>
      </c>
      <c r="AC142">
        <f>IFERROR(IF(OR(C142="S",C142="D"),IF(AND(C142="D",D142="F"),1,IF(AND(C142="S",D142="M"),1,0)),IF(OR(C142="W",C142="H"),IF(OR(AND(C142="W",D142="F"),AND(C142="H",D142="M")),1,),IF(OR(D142="M",D142="F"),1,0))),0)</f>
        <v/>
      </c>
      <c r="AD142">
        <f>IFERROR(IF(OR(C142="E",C142="W",C142="H"),1,IF(C142 = "S",IF(D142="M",1,0),IF(D142 = "F",1,0))),0)</f>
        <v/>
      </c>
      <c r="AE142">
        <f>IFERROR(IF(OR(E142="M",E142="S"),IF(E142="M",IF(OR(C142="S",C142 = "D"),0,1),IF(OR(C142="W",C142="H"),0,1)),0),0)</f>
        <v/>
      </c>
      <c r="AF142">
        <f>IF(G142="",-1,IF(AND(G142&lt;=TODAY(),ISNUMBER(DATE(YEAR(G142),MONTH(G142),DAY(G142)))),IF(AND(OR(C142="S",C142="D"),J142&gt;24),-1,1),-1))</f>
        <v/>
      </c>
      <c r="AG142">
        <f>IF(OR(I142="CAT 1",I142="CAT 2",I142="CAT 3",I142="CAT 4"),1,0)</f>
        <v/>
      </c>
      <c r="AH142">
        <f>PRODUCT(AF142:AG142)*AE142</f>
        <v/>
      </c>
    </row>
    <row r="143" customFormat="1" s="12">
      <c r="A143" s="42" t="n">
        <v>142</v>
      </c>
      <c r="B143" s="43" t="n"/>
      <c r="C143" s="44" t="n"/>
      <c r="D143" s="45" t="n"/>
      <c r="E143" s="45" t="n"/>
      <c r="F143" s="39" t="n"/>
      <c r="G143" s="3" t="n"/>
      <c r="H143" s="3" t="n"/>
      <c r="I143" s="44" t="n"/>
      <c r="J143" s="42">
        <f>IFERROR(IF(G143="","",ROUNDDOWN(IF($G143="","",(inception_date-$G143)/365.25),0)),0)</f>
        <v/>
      </c>
      <c r="K143" s="42">
        <f>IF(I143="","",IF($AM$3=1,IFERROR(IF(J143=FALSE,"",VLOOKUP(J143,$AJ$1:$AK$18,2,1)),""),IFERROR(IF(J143 = "FALSE","",VLOOKUP(J143,#REF!,2,TRUE)),"")))</f>
        <v/>
      </c>
      <c r="L143" s="42" t="n"/>
      <c r="M143" s="42" t="n"/>
      <c r="N143" s="42" t="n"/>
      <c r="O143" s="46">
        <f>IF(C143="","",IF(R143=1,"Yes","No"))</f>
        <v/>
      </c>
      <c r="P143" s="57">
        <f>IFERROR(IF(C143="","",IF(AND(Census!C143="E",Census!J143&gt;=18,Census!J143&lt;=65),"Yes","No")),"ERROR")</f>
        <v/>
      </c>
      <c r="Q143" s="58">
        <f>IFERROR(IF(C143="","",IF(AND(Census!C143="E",Census!J143&gt;=18,Census!J143&lt;=64),"Yes","No")),"ERROR")</f>
        <v/>
      </c>
      <c r="R143" s="59">
        <f>IF(OR(AB143&lt;&gt;1,AC143&lt;&gt;1,AD143&lt;&gt;1,AF143&lt;&gt;1,AE143&lt;&gt;1,AG143&lt;&gt;1),-1,1)</f>
        <v/>
      </c>
      <c r="S143" s="60">
        <f>AB143</f>
        <v/>
      </c>
      <c r="T143" s="61">
        <f>AC143</f>
        <v/>
      </c>
      <c r="U143" s="61">
        <f>AD143</f>
        <v/>
      </c>
      <c r="V143" s="61">
        <f>AE143</f>
        <v/>
      </c>
      <c r="W143" s="61">
        <f>AF143</f>
        <v/>
      </c>
      <c r="X143" s="62">
        <f>AG143</f>
        <v/>
      </c>
      <c r="Y143" s="10" t="n"/>
      <c r="Z143" s="64" t="inlineStr">
        <is>
          <t>Kazakhstani</t>
        </is>
      </c>
      <c r="AA143" s="10" t="n"/>
      <c r="AB143">
        <f>IFERROR(IF(OR(B143=0,B143=""),0,1),0)</f>
        <v/>
      </c>
      <c r="AC143">
        <f>IFERROR(IF(OR(C143="S",C143="D"),IF(AND(C143="D",D143="F"),1,IF(AND(C143="S",D143="M"),1,0)),IF(OR(C143="W",C143="H"),IF(OR(AND(C143="W",D143="F"),AND(C143="H",D143="M")),1,),IF(OR(D143="M",D143="F"),1,0))),0)</f>
        <v/>
      </c>
      <c r="AD143">
        <f>IFERROR(IF(OR(C143="E",C143="W",C143="H"),1,IF(C143 = "S",IF(D143="M",1,0),IF(D143 = "F",1,0))),0)</f>
        <v/>
      </c>
      <c r="AE143">
        <f>IFERROR(IF(OR(E143="M",E143="S"),IF(E143="M",IF(OR(C143="S",C143 = "D"),0,1),IF(OR(C143="W",C143="H"),0,1)),0),0)</f>
        <v/>
      </c>
      <c r="AF143">
        <f>IF(G143="",-1,IF(AND(G143&lt;=TODAY(),ISNUMBER(DATE(YEAR(G143),MONTH(G143),DAY(G143)))),IF(AND(OR(C143="S",C143="D"),J143&gt;24),-1,1),-1))</f>
        <v/>
      </c>
      <c r="AG143">
        <f>IF(OR(I143="CAT 1",I143="CAT 2",I143="CAT 3",I143="CAT 4"),1,0)</f>
        <v/>
      </c>
      <c r="AH143">
        <f>PRODUCT(AF143:AG143)*AE143</f>
        <v/>
      </c>
    </row>
    <row r="144" customFormat="1" s="12">
      <c r="A144" s="37" t="n">
        <v>143</v>
      </c>
      <c r="B144" s="38" t="n"/>
      <c r="C144" s="39" t="n"/>
      <c r="D144" s="40" t="n"/>
      <c r="E144" s="40" t="n"/>
      <c r="F144" s="39" t="n"/>
      <c r="G144" s="2" t="n"/>
      <c r="H144" s="2" t="n"/>
      <c r="I144" s="39" t="n"/>
      <c r="J144" s="50">
        <f>IFERROR(IF(G144="","",ROUNDDOWN(IF($G144="","",(inception_date-$G144)/365.25),0)),0)</f>
        <v/>
      </c>
      <c r="K144" s="37">
        <f>IF(I144="","",IF($AM$3=1,IFERROR(IF(J144=FALSE,"",VLOOKUP(J144,$AJ$1:$AK$18,2,1)),""),IFERROR(IF(J144 = "FALSE","",VLOOKUP(J144,#REF!,2,TRUE)),"")))</f>
        <v/>
      </c>
      <c r="L144" s="37" t="n"/>
      <c r="M144" s="37" t="n"/>
      <c r="N144" s="37" t="n"/>
      <c r="O144" s="41">
        <f>IF(C144="","",IF(R144=1,"Yes","No"))</f>
        <v/>
      </c>
      <c r="P144" s="51">
        <f>IFERROR(IF(C144="","",IF(AND(Census!C144="E",Census!J144&gt;=18,Census!J144&lt;=65),"Yes","No")),"ERROR")</f>
        <v/>
      </c>
      <c r="Q144" s="52">
        <f>IFERROR(IF(C144="","",IF(AND(Census!C144="E",Census!J144&gt;=18,Census!J144&lt;=64),"Yes","No")),"ERROR")</f>
        <v/>
      </c>
      <c r="R144" s="53">
        <f>IF(OR(AB144&lt;&gt;1,AC144&lt;&gt;1,AD144&lt;&gt;1,AF144&lt;&gt;1,AE144&lt;&gt;1,AG144&lt;&gt;1),-1,1)</f>
        <v/>
      </c>
      <c r="S144" s="54">
        <f>AB144</f>
        <v/>
      </c>
      <c r="T144" s="55">
        <f>AC144</f>
        <v/>
      </c>
      <c r="U144" s="55">
        <f>AD144</f>
        <v/>
      </c>
      <c r="V144" s="55">
        <f>AE144</f>
        <v/>
      </c>
      <c r="W144" s="55">
        <f>AF144</f>
        <v/>
      </c>
      <c r="X144" s="56">
        <f>AG144</f>
        <v/>
      </c>
      <c r="Y144" s="10" t="n"/>
      <c r="Z144" s="64" t="inlineStr">
        <is>
          <t>Kenyan</t>
        </is>
      </c>
      <c r="AA144" s="10" t="n"/>
      <c r="AB144">
        <f>IFERROR(IF(OR(B144=0,B144=""),0,1),0)</f>
        <v/>
      </c>
      <c r="AC144">
        <f>IFERROR(IF(OR(C144="S",C144="D"),IF(AND(C144="D",D144="F"),1,IF(AND(C144="S",D144="M"),1,0)),IF(OR(C144="W",C144="H"),IF(OR(AND(C144="W",D144="F"),AND(C144="H",D144="M")),1,),IF(OR(D144="M",D144="F"),1,0))),0)</f>
        <v/>
      </c>
      <c r="AD144">
        <f>IFERROR(IF(OR(C144="E",C144="W",C144="H"),1,IF(C144 = "S",IF(D144="M",1,0),IF(D144 = "F",1,0))),0)</f>
        <v/>
      </c>
      <c r="AE144">
        <f>IFERROR(IF(OR(E144="M",E144="S"),IF(E144="M",IF(OR(C144="S",C144 = "D"),0,1),IF(OR(C144="W",C144="H"),0,1)),0),0)</f>
        <v/>
      </c>
      <c r="AF144">
        <f>IF(G144="",-1,IF(AND(G144&lt;=TODAY(),ISNUMBER(DATE(YEAR(G144),MONTH(G144),DAY(G144)))),IF(AND(OR(C144="S",C144="D"),J144&gt;24),-1,1),-1))</f>
        <v/>
      </c>
      <c r="AG144">
        <f>IF(OR(I144="CAT 1",I144="CAT 2",I144="CAT 3",I144="CAT 4"),1,0)</f>
        <v/>
      </c>
      <c r="AH144">
        <f>PRODUCT(AF144:AG144)*AE144</f>
        <v/>
      </c>
    </row>
    <row r="145" customFormat="1" s="12">
      <c r="A145" s="42" t="n">
        <v>144</v>
      </c>
      <c r="B145" s="43" t="n"/>
      <c r="C145" s="44" t="n"/>
      <c r="D145" s="45" t="n"/>
      <c r="E145" s="45" t="n"/>
      <c r="F145" s="39" t="n"/>
      <c r="G145" s="3" t="n"/>
      <c r="H145" s="3" t="n"/>
      <c r="I145" s="44" t="n"/>
      <c r="J145" s="42">
        <f>IFERROR(IF(G145="","",ROUNDDOWN(IF($G145="","",(inception_date-$G145)/365.25),0)),0)</f>
        <v/>
      </c>
      <c r="K145" s="42">
        <f>IF(I145="","",IF($AM$3=1,IFERROR(IF(J145=FALSE,"",VLOOKUP(J145,$AJ$1:$AK$18,2,1)),""),IFERROR(IF(J145 = "FALSE","",VLOOKUP(J145,#REF!,2,TRUE)),"")))</f>
        <v/>
      </c>
      <c r="L145" s="42" t="n"/>
      <c r="M145" s="42" t="n"/>
      <c r="N145" s="42" t="n"/>
      <c r="O145" s="46">
        <f>IF(C145="","",IF(R145=1,"Yes","No"))</f>
        <v/>
      </c>
      <c r="P145" s="57">
        <f>IFERROR(IF(C145="","",IF(AND(Census!C145="E",Census!J145&gt;=18,Census!J145&lt;=65),"Yes","No")),"ERROR")</f>
        <v/>
      </c>
      <c r="Q145" s="58">
        <f>IFERROR(IF(C145="","",IF(AND(Census!C145="E",Census!J145&gt;=18,Census!J145&lt;=64),"Yes","No")),"ERROR")</f>
        <v/>
      </c>
      <c r="R145" s="59">
        <f>IF(OR(AB145&lt;&gt;1,AC145&lt;&gt;1,AD145&lt;&gt;1,AF145&lt;&gt;1,AE145&lt;&gt;1,AG145&lt;&gt;1),-1,1)</f>
        <v/>
      </c>
      <c r="S145" s="60">
        <f>AB145</f>
        <v/>
      </c>
      <c r="T145" s="61">
        <f>AC145</f>
        <v/>
      </c>
      <c r="U145" s="61">
        <f>AD145</f>
        <v/>
      </c>
      <c r="V145" s="61">
        <f>AE145</f>
        <v/>
      </c>
      <c r="W145" s="61">
        <f>AF145</f>
        <v/>
      </c>
      <c r="X145" s="62">
        <f>AG145</f>
        <v/>
      </c>
      <c r="Y145" s="10" t="n"/>
      <c r="Z145" s="64" t="inlineStr">
        <is>
          <t>Kittitian</t>
        </is>
      </c>
      <c r="AA145" s="10" t="n"/>
      <c r="AB145">
        <f>IFERROR(IF(OR(B145=0,B145=""),0,1),0)</f>
        <v/>
      </c>
      <c r="AC145">
        <f>IFERROR(IF(OR(C145="S",C145="D"),IF(AND(C145="D",D145="F"),1,IF(AND(C145="S",D145="M"),1,0)),IF(OR(C145="W",C145="H"),IF(OR(AND(C145="W",D145="F"),AND(C145="H",D145="M")),1,),IF(OR(D145="M",D145="F"),1,0))),0)</f>
        <v/>
      </c>
      <c r="AD145">
        <f>IFERROR(IF(OR(C145="E",C145="W",C145="H"),1,IF(C145 = "S",IF(D145="M",1,0),IF(D145 = "F",1,0))),0)</f>
        <v/>
      </c>
      <c r="AE145">
        <f>IFERROR(IF(OR(E145="M",E145="S"),IF(E145="M",IF(OR(C145="S",C145 = "D"),0,1),IF(OR(C145="W",C145="H"),0,1)),0),0)</f>
        <v/>
      </c>
      <c r="AF145">
        <f>IF(G145="",-1,IF(AND(G145&lt;=TODAY(),ISNUMBER(DATE(YEAR(G145),MONTH(G145),DAY(G145)))),IF(AND(OR(C145="S",C145="D"),J145&gt;24),-1,1),-1))</f>
        <v/>
      </c>
      <c r="AG145">
        <f>IF(OR(I145="CAT 1",I145="CAT 2",I145="CAT 3",I145="CAT 4"),1,0)</f>
        <v/>
      </c>
      <c r="AH145">
        <f>PRODUCT(AF145:AG145)*AE145</f>
        <v/>
      </c>
    </row>
    <row r="146" customFormat="1" s="12">
      <c r="A146" s="37" t="n">
        <v>145</v>
      </c>
      <c r="B146" s="38" t="n"/>
      <c r="C146" s="39" t="n"/>
      <c r="D146" s="40" t="n"/>
      <c r="E146" s="40" t="n"/>
      <c r="F146" s="39" t="n"/>
      <c r="G146" s="2" t="n"/>
      <c r="H146" s="2" t="n"/>
      <c r="I146" s="39" t="n"/>
      <c r="J146" s="50">
        <f>IFERROR(IF(G146="","",ROUNDDOWN(IF($G146="","",(inception_date-$G146)/365.25),0)),0)</f>
        <v/>
      </c>
      <c r="K146" s="37">
        <f>IF(I146="","",IF($AM$3=1,IFERROR(IF(J146=FALSE,"",VLOOKUP(J146,$AJ$1:$AK$18,2,1)),""),IFERROR(IF(J146 = "FALSE","",VLOOKUP(J146,#REF!,2,TRUE)),"")))</f>
        <v/>
      </c>
      <c r="L146" s="37" t="n"/>
      <c r="M146" s="37" t="n"/>
      <c r="N146" s="37" t="n"/>
      <c r="O146" s="41">
        <f>IF(C146="","",IF(R146=1,"Yes","No"))</f>
        <v/>
      </c>
      <c r="P146" s="51">
        <f>IFERROR(IF(C146="","",IF(AND(Census!C146="E",Census!J146&gt;=18,Census!J146&lt;=65),"Yes","No")),"ERROR")</f>
        <v/>
      </c>
      <c r="Q146" s="52">
        <f>IFERROR(IF(C146="","",IF(AND(Census!C146="E",Census!J146&gt;=18,Census!J146&lt;=64),"Yes","No")),"ERROR")</f>
        <v/>
      </c>
      <c r="R146" s="53">
        <f>IF(OR(AB146&lt;&gt;1,AC146&lt;&gt;1,AD146&lt;&gt;1,AF146&lt;&gt;1,AE146&lt;&gt;1,AG146&lt;&gt;1),-1,1)</f>
        <v/>
      </c>
      <c r="S146" s="54">
        <f>AB146</f>
        <v/>
      </c>
      <c r="T146" s="55">
        <f>AC146</f>
        <v/>
      </c>
      <c r="U146" s="55">
        <f>AD146</f>
        <v/>
      </c>
      <c r="V146" s="55">
        <f>AE146</f>
        <v/>
      </c>
      <c r="W146" s="55">
        <f>AF146</f>
        <v/>
      </c>
      <c r="X146" s="56">
        <f>AG146</f>
        <v/>
      </c>
      <c r="Y146" s="10" t="n"/>
      <c r="Z146" s="64" t="inlineStr">
        <is>
          <t>Korean</t>
        </is>
      </c>
      <c r="AA146" s="10" t="n"/>
      <c r="AB146">
        <f>IFERROR(IF(OR(B146=0,B146=""),0,1),0)</f>
        <v/>
      </c>
      <c r="AC146">
        <f>IFERROR(IF(OR(C146="S",C146="D"),IF(AND(C146="D",D146="F"),1,IF(AND(C146="S",D146="M"),1,0)),IF(OR(C146="W",C146="H"),IF(OR(AND(C146="W",D146="F"),AND(C146="H",D146="M")),1,),IF(OR(D146="M",D146="F"),1,0))),0)</f>
        <v/>
      </c>
      <c r="AD146">
        <f>IFERROR(IF(OR(C146="E",C146="W",C146="H"),1,IF(C146 = "S",IF(D146="M",1,0),IF(D146 = "F",1,0))),0)</f>
        <v/>
      </c>
      <c r="AE146">
        <f>IFERROR(IF(OR(E146="M",E146="S"),IF(E146="M",IF(OR(C146="S",C146 = "D"),0,1),IF(OR(C146="W",C146="H"),0,1)),0),0)</f>
        <v/>
      </c>
      <c r="AF146">
        <f>IF(G146="",-1,IF(AND(G146&lt;=TODAY(),ISNUMBER(DATE(YEAR(G146),MONTH(G146),DAY(G146)))),IF(AND(OR(C146="S",C146="D"),J146&gt;24),-1,1),-1))</f>
        <v/>
      </c>
      <c r="AG146">
        <f>IF(OR(I146="CAT 1",I146="CAT 2",I146="CAT 3",I146="CAT 4"),1,0)</f>
        <v/>
      </c>
      <c r="AH146">
        <f>PRODUCT(AF146:AG146)*AE146</f>
        <v/>
      </c>
    </row>
    <row r="147" customFormat="1" s="12">
      <c r="A147" s="42" t="n">
        <v>146</v>
      </c>
      <c r="B147" s="43" t="n"/>
      <c r="C147" s="44" t="n"/>
      <c r="D147" s="45" t="n"/>
      <c r="E147" s="45" t="n"/>
      <c r="F147" s="39" t="n"/>
      <c r="G147" s="3" t="n"/>
      <c r="H147" s="3" t="n"/>
      <c r="I147" s="44" t="n"/>
      <c r="J147" s="42">
        <f>IFERROR(IF(G147="","",ROUNDDOWN(IF($G147="","",(inception_date-$G147)/365.25),0)),0)</f>
        <v/>
      </c>
      <c r="K147" s="42">
        <f>IF(I147="","",IF($AM$3=1,IFERROR(IF(J147=FALSE,"",VLOOKUP(J147,$AJ$1:$AK$18,2,1)),""),IFERROR(IF(J147 = "FALSE","",VLOOKUP(J147,#REF!,2,TRUE)),"")))</f>
        <v/>
      </c>
      <c r="L147" s="42" t="n"/>
      <c r="M147" s="42" t="n"/>
      <c r="N147" s="42" t="n"/>
      <c r="O147" s="46">
        <f>IF(C147="","",IF(R147=1,"Yes","No"))</f>
        <v/>
      </c>
      <c r="P147" s="57">
        <f>IFERROR(IF(C147="","",IF(AND(Census!C147="E",Census!J147&gt;=18,Census!J147&lt;=65),"Yes","No")),"ERROR")</f>
        <v/>
      </c>
      <c r="Q147" s="58">
        <f>IFERROR(IF(C147="","",IF(AND(Census!C147="E",Census!J147&gt;=18,Census!J147&lt;=64),"Yes","No")),"ERROR")</f>
        <v/>
      </c>
      <c r="R147" s="59">
        <f>IF(OR(AB147&lt;&gt;1,AC147&lt;&gt;1,AD147&lt;&gt;1,AF147&lt;&gt;1,AE147&lt;&gt;1,AG147&lt;&gt;1),-1,1)</f>
        <v/>
      </c>
      <c r="S147" s="60">
        <f>AB147</f>
        <v/>
      </c>
      <c r="T147" s="61">
        <f>AC147</f>
        <v/>
      </c>
      <c r="U147" s="61">
        <f>AD147</f>
        <v/>
      </c>
      <c r="V147" s="61">
        <f>AE147</f>
        <v/>
      </c>
      <c r="W147" s="61">
        <f>AF147</f>
        <v/>
      </c>
      <c r="X147" s="62">
        <f>AG147</f>
        <v/>
      </c>
      <c r="Y147" s="10" t="n"/>
      <c r="Z147" s="64" t="inlineStr">
        <is>
          <t>Kuwaiti</t>
        </is>
      </c>
      <c r="AA147" s="10" t="n"/>
      <c r="AB147">
        <f>IFERROR(IF(OR(B147=0,B147=""),0,1),0)</f>
        <v/>
      </c>
      <c r="AC147">
        <f>IFERROR(IF(OR(C147="S",C147="D"),IF(AND(C147="D",D147="F"),1,IF(AND(C147="S",D147="M"),1,0)),IF(OR(C147="W",C147="H"),IF(OR(AND(C147="W",D147="F"),AND(C147="H",D147="M")),1,),IF(OR(D147="M",D147="F"),1,0))),0)</f>
        <v/>
      </c>
      <c r="AD147">
        <f>IFERROR(IF(OR(C147="E",C147="W",C147="H"),1,IF(C147 = "S",IF(D147="M",1,0),IF(D147 = "F",1,0))),0)</f>
        <v/>
      </c>
      <c r="AE147">
        <f>IFERROR(IF(OR(E147="M",E147="S"),IF(E147="M",IF(OR(C147="S",C147 = "D"),0,1),IF(OR(C147="W",C147="H"),0,1)),0),0)</f>
        <v/>
      </c>
      <c r="AF147">
        <f>IF(G147="",-1,IF(AND(G147&lt;=TODAY(),ISNUMBER(DATE(YEAR(G147),MONTH(G147),DAY(G147)))),IF(AND(OR(C147="S",C147="D"),J147&gt;24),-1,1),-1))</f>
        <v/>
      </c>
      <c r="AG147">
        <f>IF(OR(I147="CAT 1",I147="CAT 2",I147="CAT 3",I147="CAT 4"),1,0)</f>
        <v/>
      </c>
      <c r="AH147">
        <f>PRODUCT(AF147:AG147)*AE147</f>
        <v/>
      </c>
    </row>
    <row r="148" customFormat="1" s="12">
      <c r="A148" s="37" t="n">
        <v>147</v>
      </c>
      <c r="B148" s="38" t="n"/>
      <c r="C148" s="39" t="n"/>
      <c r="D148" s="40" t="n"/>
      <c r="E148" s="40" t="n"/>
      <c r="F148" s="39" t="n"/>
      <c r="G148" s="2" t="n"/>
      <c r="H148" s="2" t="n"/>
      <c r="I148" s="39" t="n"/>
      <c r="J148" s="50">
        <f>IFERROR(IF(G148="","",ROUNDDOWN(IF($G148="","",(inception_date-$G148)/365.25),0)),0)</f>
        <v/>
      </c>
      <c r="K148" s="37">
        <f>IF(I148="","",IF($AM$3=1,IFERROR(IF(J148=FALSE,"",VLOOKUP(J148,$AJ$1:$AK$18,2,1)),""),IFERROR(IF(J148 = "FALSE","",VLOOKUP(J148,#REF!,2,TRUE)),"")))</f>
        <v/>
      </c>
      <c r="L148" s="37" t="n"/>
      <c r="M148" s="37" t="n"/>
      <c r="N148" s="37" t="n"/>
      <c r="O148" s="41">
        <f>IF(C148="","",IF(R148=1,"Yes","No"))</f>
        <v/>
      </c>
      <c r="P148" s="51">
        <f>IFERROR(IF(C148="","",IF(AND(Census!C148="E",Census!J148&gt;=18,Census!J148&lt;=65),"Yes","No")),"ERROR")</f>
        <v/>
      </c>
      <c r="Q148" s="52">
        <f>IFERROR(IF(C148="","",IF(AND(Census!C148="E",Census!J148&gt;=18,Census!J148&lt;=64),"Yes","No")),"ERROR")</f>
        <v/>
      </c>
      <c r="R148" s="53">
        <f>IF(OR(AB148&lt;&gt;1,AC148&lt;&gt;1,AD148&lt;&gt;1,AF148&lt;&gt;1,AE148&lt;&gt;1,AG148&lt;&gt;1),-1,1)</f>
        <v/>
      </c>
      <c r="S148" s="54">
        <f>AB148</f>
        <v/>
      </c>
      <c r="T148" s="55">
        <f>AC148</f>
        <v/>
      </c>
      <c r="U148" s="55">
        <f>AD148</f>
        <v/>
      </c>
      <c r="V148" s="55">
        <f>AE148</f>
        <v/>
      </c>
      <c r="W148" s="55">
        <f>AF148</f>
        <v/>
      </c>
      <c r="X148" s="56">
        <f>AG148</f>
        <v/>
      </c>
      <c r="Y148" s="10" t="n"/>
      <c r="Z148" s="64" t="inlineStr">
        <is>
          <t>Kyrgyzstani</t>
        </is>
      </c>
      <c r="AA148" s="10" t="n"/>
      <c r="AB148">
        <f>IFERROR(IF(OR(B148=0,B148=""),0,1),0)</f>
        <v/>
      </c>
      <c r="AC148">
        <f>IFERROR(IF(OR(C148="S",C148="D"),IF(AND(C148="D",D148="F"),1,IF(AND(C148="S",D148="M"),1,0)),IF(OR(C148="W",C148="H"),IF(OR(AND(C148="W",D148="F"),AND(C148="H",D148="M")),1,),IF(OR(D148="M",D148="F"),1,0))),0)</f>
        <v/>
      </c>
      <c r="AD148">
        <f>IFERROR(IF(OR(C148="E",C148="W",C148="H"),1,IF(C148 = "S",IF(D148="M",1,0),IF(D148 = "F",1,0))),0)</f>
        <v/>
      </c>
      <c r="AE148">
        <f>IFERROR(IF(OR(E148="M",E148="S"),IF(E148="M",IF(OR(C148="S",C148 = "D"),0,1),IF(OR(C148="W",C148="H"),0,1)),0),0)</f>
        <v/>
      </c>
      <c r="AF148">
        <f>IF(G148="",-1,IF(AND(G148&lt;=TODAY(),ISNUMBER(DATE(YEAR(G148),MONTH(G148),DAY(G148)))),IF(AND(OR(C148="S",C148="D"),J148&gt;24),-1,1),-1))</f>
        <v/>
      </c>
      <c r="AG148">
        <f>IF(OR(I148="CAT 1",I148="CAT 2",I148="CAT 3",I148="CAT 4"),1,0)</f>
        <v/>
      </c>
      <c r="AH148">
        <f>PRODUCT(AF148:AG148)*AE148</f>
        <v/>
      </c>
    </row>
    <row r="149" customFormat="1" s="12">
      <c r="A149" s="42" t="n">
        <v>148</v>
      </c>
      <c r="B149" s="43" t="n"/>
      <c r="C149" s="44" t="n"/>
      <c r="D149" s="45" t="n"/>
      <c r="E149" s="45" t="n"/>
      <c r="F149" s="39" t="n"/>
      <c r="G149" s="3" t="n"/>
      <c r="H149" s="3" t="n"/>
      <c r="I149" s="44" t="n"/>
      <c r="J149" s="42">
        <f>IFERROR(IF(G149="","",ROUNDDOWN(IF($G149="","",(inception_date-$G149)/365.25),0)),0)</f>
        <v/>
      </c>
      <c r="K149" s="42">
        <f>IF(I149="","",IF($AM$3=1,IFERROR(IF(J149=FALSE,"",VLOOKUP(J149,$AJ$1:$AK$18,2,1)),""),IFERROR(IF(J149 = "FALSE","",VLOOKUP(J149,#REF!,2,TRUE)),"")))</f>
        <v/>
      </c>
      <c r="L149" s="42" t="n"/>
      <c r="M149" s="42" t="n"/>
      <c r="N149" s="42" t="n"/>
      <c r="O149" s="46">
        <f>IF(C149="","",IF(R149=1,"Yes","No"))</f>
        <v/>
      </c>
      <c r="P149" s="57">
        <f>IFERROR(IF(C149="","",IF(AND(Census!C149="E",Census!J149&gt;=18,Census!J149&lt;=65),"Yes","No")),"ERROR")</f>
        <v/>
      </c>
      <c r="Q149" s="58">
        <f>IFERROR(IF(C149="","",IF(AND(Census!C149="E",Census!J149&gt;=18,Census!J149&lt;=64),"Yes","No")),"ERROR")</f>
        <v/>
      </c>
      <c r="R149" s="59">
        <f>IF(OR(AB149&lt;&gt;1,AC149&lt;&gt;1,AD149&lt;&gt;1,AF149&lt;&gt;1,AE149&lt;&gt;1,AG149&lt;&gt;1),-1,1)</f>
        <v/>
      </c>
      <c r="S149" s="60">
        <f>AB149</f>
        <v/>
      </c>
      <c r="T149" s="61">
        <f>AC149</f>
        <v/>
      </c>
      <c r="U149" s="61">
        <f>AD149</f>
        <v/>
      </c>
      <c r="V149" s="61">
        <f>AE149</f>
        <v/>
      </c>
      <c r="W149" s="61">
        <f>AF149</f>
        <v/>
      </c>
      <c r="X149" s="62">
        <f>AG149</f>
        <v/>
      </c>
      <c r="Y149" s="10" t="n"/>
      <c r="Z149" s="64" t="inlineStr">
        <is>
          <t>Laotian</t>
        </is>
      </c>
      <c r="AA149" s="10" t="n"/>
      <c r="AB149">
        <f>IFERROR(IF(OR(B149=0,B149=""),0,1),0)</f>
        <v/>
      </c>
      <c r="AC149">
        <f>IFERROR(IF(OR(C149="S",C149="D"),IF(AND(C149="D",D149="F"),1,IF(AND(C149="S",D149="M"),1,0)),IF(OR(C149="W",C149="H"),IF(OR(AND(C149="W",D149="F"),AND(C149="H",D149="M")),1,),IF(OR(D149="M",D149="F"),1,0))),0)</f>
        <v/>
      </c>
      <c r="AD149">
        <f>IFERROR(IF(OR(C149="E",C149="W",C149="H"),1,IF(C149 = "S",IF(D149="M",1,0),IF(D149 = "F",1,0))),0)</f>
        <v/>
      </c>
      <c r="AE149">
        <f>IFERROR(IF(OR(E149="M",E149="S"),IF(E149="M",IF(OR(C149="S",C149 = "D"),0,1),IF(OR(C149="W",C149="H"),0,1)),0),0)</f>
        <v/>
      </c>
      <c r="AF149">
        <f>IF(G149="",-1,IF(AND(G149&lt;=TODAY(),ISNUMBER(DATE(YEAR(G149),MONTH(G149),DAY(G149)))),IF(AND(OR(C149="S",C149="D"),J149&gt;24),-1,1),-1))</f>
        <v/>
      </c>
      <c r="AG149">
        <f>IF(OR(I149="CAT 1",I149="CAT 2",I149="CAT 3",I149="CAT 4"),1,0)</f>
        <v/>
      </c>
      <c r="AH149">
        <f>PRODUCT(AF149:AG149)*AE149</f>
        <v/>
      </c>
    </row>
    <row r="150" customFormat="1" s="12">
      <c r="A150" s="37" t="n">
        <v>149</v>
      </c>
      <c r="B150" s="38" t="n"/>
      <c r="C150" s="39" t="n"/>
      <c r="D150" s="40" t="n"/>
      <c r="E150" s="40" t="n"/>
      <c r="F150" s="39" t="n"/>
      <c r="G150" s="2" t="n"/>
      <c r="H150" s="2" t="n"/>
      <c r="I150" s="39" t="n"/>
      <c r="J150" s="50">
        <f>IFERROR(IF(G150="","",ROUNDDOWN(IF($G150="","",(inception_date-$G150)/365.25),0)),0)</f>
        <v/>
      </c>
      <c r="K150" s="37">
        <f>IF(I150="","",IF($AM$3=1,IFERROR(IF(J150=FALSE,"",VLOOKUP(J150,$AJ$1:$AK$18,2,1)),""),IFERROR(IF(J150 = "FALSE","",VLOOKUP(J150,#REF!,2,TRUE)),"")))</f>
        <v/>
      </c>
      <c r="L150" s="37" t="n"/>
      <c r="M150" s="37" t="n"/>
      <c r="N150" s="37" t="n"/>
      <c r="O150" s="41">
        <f>IF(C150="","",IF(R150=1,"Yes","No"))</f>
        <v/>
      </c>
      <c r="P150" s="51">
        <f>IFERROR(IF(C150="","",IF(AND(Census!C150="E",Census!J150&gt;=18,Census!J150&lt;=65),"Yes","No")),"ERROR")</f>
        <v/>
      </c>
      <c r="Q150" s="52">
        <f>IFERROR(IF(C150="","",IF(AND(Census!C150="E",Census!J150&gt;=18,Census!J150&lt;=64),"Yes","No")),"ERROR")</f>
        <v/>
      </c>
      <c r="R150" s="53">
        <f>IF(OR(AB150&lt;&gt;1,AC150&lt;&gt;1,AD150&lt;&gt;1,AF150&lt;&gt;1,AE150&lt;&gt;1,AG150&lt;&gt;1),-1,1)</f>
        <v/>
      </c>
      <c r="S150" s="54">
        <f>AB150</f>
        <v/>
      </c>
      <c r="T150" s="55">
        <f>AC150</f>
        <v/>
      </c>
      <c r="U150" s="55">
        <f>AD150</f>
        <v/>
      </c>
      <c r="V150" s="55">
        <f>AE150</f>
        <v/>
      </c>
      <c r="W150" s="55">
        <f>AF150</f>
        <v/>
      </c>
      <c r="X150" s="56">
        <f>AG150</f>
        <v/>
      </c>
      <c r="Y150" s="10" t="n"/>
      <c r="Z150" s="64" t="inlineStr">
        <is>
          <t>Latvian</t>
        </is>
      </c>
      <c r="AA150" s="10" t="n"/>
      <c r="AB150">
        <f>IFERROR(IF(OR(B150=0,B150=""),0,1),0)</f>
        <v/>
      </c>
      <c r="AC150">
        <f>IFERROR(IF(OR(C150="S",C150="D"),IF(AND(C150="D",D150="F"),1,IF(AND(C150="S",D150="M"),1,0)),IF(OR(C150="W",C150="H"),IF(OR(AND(C150="W",D150="F"),AND(C150="H",D150="M")),1,),IF(OR(D150="M",D150="F"),1,0))),0)</f>
        <v/>
      </c>
      <c r="AD150">
        <f>IFERROR(IF(OR(C150="E",C150="W",C150="H"),1,IF(C150 = "S",IF(D150="M",1,0),IF(D150 = "F",1,0))),0)</f>
        <v/>
      </c>
      <c r="AE150">
        <f>IFERROR(IF(OR(E150="M",E150="S"),IF(E150="M",IF(OR(C150="S",C150 = "D"),0,1),IF(OR(C150="W",C150="H"),0,1)),0),0)</f>
        <v/>
      </c>
      <c r="AF150">
        <f>IF(G150="",-1,IF(AND(G150&lt;=TODAY(),ISNUMBER(DATE(YEAR(G150),MONTH(G150),DAY(G150)))),IF(AND(OR(C150="S",C150="D"),J150&gt;24),-1,1),-1))</f>
        <v/>
      </c>
      <c r="AG150">
        <f>IF(OR(I150="CAT 1",I150="CAT 2",I150="CAT 3",I150="CAT 4"),1,0)</f>
        <v/>
      </c>
      <c r="AH150">
        <f>PRODUCT(AF150:AG150)*AE150</f>
        <v/>
      </c>
    </row>
    <row r="151" customFormat="1" s="12">
      <c r="A151" s="42" t="n">
        <v>150</v>
      </c>
      <c r="B151" s="43" t="n"/>
      <c r="C151" s="44" t="n"/>
      <c r="D151" s="45" t="n"/>
      <c r="E151" s="45" t="n"/>
      <c r="F151" s="39" t="n"/>
      <c r="G151" s="3" t="n"/>
      <c r="H151" s="3" t="n"/>
      <c r="I151" s="44" t="n"/>
      <c r="J151" s="42">
        <f>IFERROR(IF(G151="","",ROUNDDOWN(IF($G151="","",(inception_date-$G151)/365.25),0)),0)</f>
        <v/>
      </c>
      <c r="K151" s="42">
        <f>IF(I151="","",IF($AM$3=1,IFERROR(IF(J151=FALSE,"",VLOOKUP(J151,$AJ$1:$AK$18,2,1)),""),IFERROR(IF(J151 = "FALSE","",VLOOKUP(J151,#REF!,2,TRUE)),"")))</f>
        <v/>
      </c>
      <c r="L151" s="42" t="n"/>
      <c r="M151" s="42" t="n"/>
      <c r="N151" s="42" t="n"/>
      <c r="O151" s="46">
        <f>IF(C151="","",IF(R151=1,"Yes","No"))</f>
        <v/>
      </c>
      <c r="P151" s="57">
        <f>IFERROR(IF(C151="","",IF(AND(Census!C151="E",Census!J151&gt;=18,Census!J151&lt;=65),"Yes","No")),"ERROR")</f>
        <v/>
      </c>
      <c r="Q151" s="58">
        <f>IFERROR(IF(C151="","",IF(AND(Census!C151="E",Census!J151&gt;=18,Census!J151&lt;=64),"Yes","No")),"ERROR")</f>
        <v/>
      </c>
      <c r="R151" s="59">
        <f>IF(OR(AB151&lt;&gt;1,AC151&lt;&gt;1,AD151&lt;&gt;1,AF151&lt;&gt;1,AE151&lt;&gt;1,AG151&lt;&gt;1),-1,1)</f>
        <v/>
      </c>
      <c r="S151" s="60">
        <f>AB151</f>
        <v/>
      </c>
      <c r="T151" s="61">
        <f>AC151</f>
        <v/>
      </c>
      <c r="U151" s="61">
        <f>AD151</f>
        <v/>
      </c>
      <c r="V151" s="61">
        <f>AE151</f>
        <v/>
      </c>
      <c r="W151" s="61">
        <f>AF151</f>
        <v/>
      </c>
      <c r="X151" s="62">
        <f>AG151</f>
        <v/>
      </c>
      <c r="Y151" s="10" t="n"/>
      <c r="Z151" s="64" t="inlineStr">
        <is>
          <t>Lebanese</t>
        </is>
      </c>
      <c r="AA151" s="10" t="n"/>
      <c r="AB151">
        <f>IFERROR(IF(OR(B151=0,B151=""),0,1),0)</f>
        <v/>
      </c>
      <c r="AC151">
        <f>IFERROR(IF(OR(C151="S",C151="D"),IF(AND(C151="D",D151="F"),1,IF(AND(C151="S",D151="M"),1,0)),IF(OR(C151="W",C151="H"),IF(OR(AND(C151="W",D151="F"),AND(C151="H",D151="M")),1,),IF(OR(D151="M",D151="F"),1,0))),0)</f>
        <v/>
      </c>
      <c r="AD151">
        <f>IFERROR(IF(OR(C151="E",C151="W",C151="H"),1,IF(C151 = "S",IF(D151="M",1,0),IF(D151 = "F",1,0))),0)</f>
        <v/>
      </c>
      <c r="AE151">
        <f>IFERROR(IF(OR(E151="M",E151="S"),IF(E151="M",IF(OR(C151="S",C151 = "D"),0,1),IF(OR(C151="W",C151="H"),0,1)),0),0)</f>
        <v/>
      </c>
      <c r="AF151">
        <f>IF(G151="",-1,IF(AND(G151&lt;=TODAY(),ISNUMBER(DATE(YEAR(G151),MONTH(G151),DAY(G151)))),IF(AND(OR(C151="S",C151="D"),J151&gt;24),-1,1),-1))</f>
        <v/>
      </c>
      <c r="AG151">
        <f>IF(OR(I151="CAT 1",I151="CAT 2",I151="CAT 3",I151="CAT 4"),1,0)</f>
        <v/>
      </c>
      <c r="AH151">
        <f>PRODUCT(AF151:AG151)*AE151</f>
        <v/>
      </c>
    </row>
    <row r="152" customFormat="1" s="12">
      <c r="A152" s="37" t="n">
        <v>151</v>
      </c>
      <c r="B152" s="38" t="n"/>
      <c r="C152" s="39" t="n"/>
      <c r="D152" s="40" t="n"/>
      <c r="E152" s="40" t="n"/>
      <c r="F152" s="39" t="n"/>
      <c r="G152" s="2" t="n"/>
      <c r="H152" s="2" t="n"/>
      <c r="I152" s="39" t="n"/>
      <c r="J152" s="50">
        <f>IFERROR(IF(G152="","",ROUNDDOWN(IF($G152="","",(inception_date-$G152)/365.25),0)),0)</f>
        <v/>
      </c>
      <c r="K152" s="37">
        <f>IF(I152="","",IF($AM$3=1,IFERROR(IF(J152=FALSE,"",VLOOKUP(J152,$AJ$1:$AK$18,2,1)),""),IFERROR(IF(J152 = "FALSE","",VLOOKUP(J152,#REF!,2,TRUE)),"")))</f>
        <v/>
      </c>
      <c r="L152" s="37" t="n"/>
      <c r="M152" s="37" t="n"/>
      <c r="N152" s="37" t="n"/>
      <c r="O152" s="41">
        <f>IF(C152="","",IF(R152=1,"Yes","No"))</f>
        <v/>
      </c>
      <c r="P152" s="51">
        <f>IFERROR(IF(C152="","",IF(AND(Census!C152="E",Census!J152&gt;=18,Census!J152&lt;=65),"Yes","No")),"ERROR")</f>
        <v/>
      </c>
      <c r="Q152" s="52">
        <f>IFERROR(IF(C152="","",IF(AND(Census!C152="E",Census!J152&gt;=18,Census!J152&lt;=64),"Yes","No")),"ERROR")</f>
        <v/>
      </c>
      <c r="R152" s="53">
        <f>IF(OR(AB152&lt;&gt;1,AC152&lt;&gt;1,AD152&lt;&gt;1,AF152&lt;&gt;1,AE152&lt;&gt;1,AG152&lt;&gt;1),-1,1)</f>
        <v/>
      </c>
      <c r="S152" s="54">
        <f>AB152</f>
        <v/>
      </c>
      <c r="T152" s="55">
        <f>AC152</f>
        <v/>
      </c>
      <c r="U152" s="55">
        <f>AD152</f>
        <v/>
      </c>
      <c r="V152" s="55">
        <f>AE152</f>
        <v/>
      </c>
      <c r="W152" s="55">
        <f>AF152</f>
        <v/>
      </c>
      <c r="X152" s="56">
        <f>AG152</f>
        <v/>
      </c>
      <c r="Y152" s="10" t="n"/>
      <c r="Z152" s="64" t="inlineStr">
        <is>
          <t>Liberian</t>
        </is>
      </c>
      <c r="AA152" s="10" t="n"/>
      <c r="AB152">
        <f>IFERROR(IF(OR(B152=0,B152=""),0,1),0)</f>
        <v/>
      </c>
      <c r="AC152">
        <f>IFERROR(IF(OR(C152="S",C152="D"),IF(AND(C152="D",D152="F"),1,IF(AND(C152="S",D152="M"),1,0)),IF(OR(C152="W",C152="H"),IF(OR(AND(C152="W",D152="F"),AND(C152="H",D152="M")),1,),IF(OR(D152="M",D152="F"),1,0))),0)</f>
        <v/>
      </c>
      <c r="AD152">
        <f>IFERROR(IF(OR(C152="E",C152="W",C152="H"),1,IF(C152 = "S",IF(D152="M",1,0),IF(D152 = "F",1,0))),0)</f>
        <v/>
      </c>
      <c r="AE152">
        <f>IFERROR(IF(OR(E152="M",E152="S"),IF(E152="M",IF(OR(C152="S",C152 = "D"),0,1),IF(OR(C152="W",C152="H"),0,1)),0),0)</f>
        <v/>
      </c>
      <c r="AF152">
        <f>IF(G152="",-1,IF(AND(G152&lt;=TODAY(),ISNUMBER(DATE(YEAR(G152),MONTH(G152),DAY(G152)))),IF(AND(OR(C152="S",C152="D"),J152&gt;24),-1,1),-1))</f>
        <v/>
      </c>
      <c r="AG152">
        <f>IF(OR(I152="CAT 1",I152="CAT 2",I152="CAT 3",I152="CAT 4"),1,0)</f>
        <v/>
      </c>
      <c r="AH152">
        <f>PRODUCT(AF152:AG152)*AE152</f>
        <v/>
      </c>
    </row>
    <row r="153" customFormat="1" s="12">
      <c r="A153" s="42" t="n">
        <v>152</v>
      </c>
      <c r="B153" s="43" t="n"/>
      <c r="C153" s="44" t="n"/>
      <c r="D153" s="45" t="n"/>
      <c r="E153" s="45" t="n"/>
      <c r="F153" s="39" t="n"/>
      <c r="G153" s="3" t="n"/>
      <c r="H153" s="3" t="n"/>
      <c r="I153" s="44" t="n"/>
      <c r="J153" s="42">
        <f>IFERROR(IF(G153="","",ROUNDDOWN(IF($G153="","",(inception_date-$G153)/365.25),0)),0)</f>
        <v/>
      </c>
      <c r="K153" s="42">
        <f>IF(I153="","",IF($AM$3=1,IFERROR(IF(J153=FALSE,"",VLOOKUP(J153,$AJ$1:$AK$18,2,1)),""),IFERROR(IF(J153 = "FALSE","",VLOOKUP(J153,#REF!,2,TRUE)),"")))</f>
        <v/>
      </c>
      <c r="L153" s="42" t="n"/>
      <c r="M153" s="42" t="n"/>
      <c r="N153" s="42" t="n"/>
      <c r="O153" s="46">
        <f>IF(C153="","",IF(R153=1,"Yes","No"))</f>
        <v/>
      </c>
      <c r="P153" s="57">
        <f>IFERROR(IF(C153="","",IF(AND(Census!C153="E",Census!J153&gt;=18,Census!J153&lt;=65),"Yes","No")),"ERROR")</f>
        <v/>
      </c>
      <c r="Q153" s="58">
        <f>IFERROR(IF(C153="","",IF(AND(Census!C153="E",Census!J153&gt;=18,Census!J153&lt;=64),"Yes","No")),"ERROR")</f>
        <v/>
      </c>
      <c r="R153" s="59">
        <f>IF(OR(AB153&lt;&gt;1,AC153&lt;&gt;1,AD153&lt;&gt;1,AF153&lt;&gt;1,AE153&lt;&gt;1,AG153&lt;&gt;1),-1,1)</f>
        <v/>
      </c>
      <c r="S153" s="60">
        <f>AB153</f>
        <v/>
      </c>
      <c r="T153" s="61">
        <f>AC153</f>
        <v/>
      </c>
      <c r="U153" s="61">
        <f>AD153</f>
        <v/>
      </c>
      <c r="V153" s="61">
        <f>AE153</f>
        <v/>
      </c>
      <c r="W153" s="61">
        <f>AF153</f>
        <v/>
      </c>
      <c r="X153" s="62">
        <f>AG153</f>
        <v/>
      </c>
      <c r="Y153" s="10" t="n"/>
      <c r="Z153" s="64" t="inlineStr">
        <is>
          <t>Libyan</t>
        </is>
      </c>
      <c r="AA153" s="10" t="n"/>
      <c r="AB153">
        <f>IFERROR(IF(OR(B153=0,B153=""),0,1),0)</f>
        <v/>
      </c>
      <c r="AC153">
        <f>IFERROR(IF(OR(C153="S",C153="D"),IF(AND(C153="D",D153="F"),1,IF(AND(C153="S",D153="M"),1,0)),IF(OR(C153="W",C153="H"),IF(OR(AND(C153="W",D153="F"),AND(C153="H",D153="M")),1,),IF(OR(D153="M",D153="F"),1,0))),0)</f>
        <v/>
      </c>
      <c r="AD153">
        <f>IFERROR(IF(OR(C153="E",C153="W",C153="H"),1,IF(C153 = "S",IF(D153="M",1,0),IF(D153 = "F",1,0))),0)</f>
        <v/>
      </c>
      <c r="AE153">
        <f>IFERROR(IF(OR(E153="M",E153="S"),IF(E153="M",IF(OR(C153="S",C153 = "D"),0,1),IF(OR(C153="W",C153="H"),0,1)),0),0)</f>
        <v/>
      </c>
      <c r="AF153">
        <f>IF(G153="",-1,IF(AND(G153&lt;=TODAY(),ISNUMBER(DATE(YEAR(G153),MONTH(G153),DAY(G153)))),IF(AND(OR(C153="S",C153="D"),J153&gt;24),-1,1),-1))</f>
        <v/>
      </c>
      <c r="AG153">
        <f>IF(OR(I153="CAT 1",I153="CAT 2",I153="CAT 3",I153="CAT 4"),1,0)</f>
        <v/>
      </c>
      <c r="AH153">
        <f>PRODUCT(AF153:AG153)*AE153</f>
        <v/>
      </c>
    </row>
    <row r="154" customFormat="1" s="12">
      <c r="A154" s="37" t="n">
        <v>153</v>
      </c>
      <c r="B154" s="38" t="n"/>
      <c r="C154" s="39" t="n"/>
      <c r="D154" s="40" t="n"/>
      <c r="E154" s="40" t="n"/>
      <c r="F154" s="39" t="n"/>
      <c r="G154" s="2" t="n"/>
      <c r="H154" s="2" t="n"/>
      <c r="I154" s="39" t="n"/>
      <c r="J154" s="50">
        <f>IFERROR(IF(G154="","",ROUNDDOWN(IF($G154="","",(inception_date-$G154)/365.25),0)),0)</f>
        <v/>
      </c>
      <c r="K154" s="37">
        <f>IF(I154="","",IF($AM$3=1,IFERROR(IF(J154=FALSE,"",VLOOKUP(J154,$AJ$1:$AK$18,2,1)),""),IFERROR(IF(J154 = "FALSE","",VLOOKUP(J154,#REF!,2,TRUE)),"")))</f>
        <v/>
      </c>
      <c r="L154" s="37" t="n"/>
      <c r="M154" s="37" t="n"/>
      <c r="N154" s="37" t="n"/>
      <c r="O154" s="41">
        <f>IF(C154="","",IF(R154=1,"Yes","No"))</f>
        <v/>
      </c>
      <c r="P154" s="51">
        <f>IFERROR(IF(C154="","",IF(AND(Census!C154="E",Census!J154&gt;=18,Census!J154&lt;=65),"Yes","No")),"ERROR")</f>
        <v/>
      </c>
      <c r="Q154" s="52">
        <f>IFERROR(IF(C154="","",IF(AND(Census!C154="E",Census!J154&gt;=18,Census!J154&lt;=64),"Yes","No")),"ERROR")</f>
        <v/>
      </c>
      <c r="R154" s="53">
        <f>IF(OR(AB154&lt;&gt;1,AC154&lt;&gt;1,AD154&lt;&gt;1,AF154&lt;&gt;1,AE154&lt;&gt;1,AG154&lt;&gt;1),-1,1)</f>
        <v/>
      </c>
      <c r="S154" s="54">
        <f>AB154</f>
        <v/>
      </c>
      <c r="T154" s="55">
        <f>AC154</f>
        <v/>
      </c>
      <c r="U154" s="55">
        <f>AD154</f>
        <v/>
      </c>
      <c r="V154" s="55">
        <f>AE154</f>
        <v/>
      </c>
      <c r="W154" s="55">
        <f>AF154</f>
        <v/>
      </c>
      <c r="X154" s="56">
        <f>AG154</f>
        <v/>
      </c>
      <c r="Y154" s="10" t="n"/>
      <c r="Z154" s="64" t="inlineStr">
        <is>
          <t>Liechtensteinian</t>
        </is>
      </c>
      <c r="AA154" s="10" t="n"/>
      <c r="AB154">
        <f>IFERROR(IF(OR(B154=0,B154=""),0,1),0)</f>
        <v/>
      </c>
      <c r="AC154">
        <f>IFERROR(IF(OR(C154="S",C154="D"),IF(AND(C154="D",D154="F"),1,IF(AND(C154="S",D154="M"),1,0)),IF(OR(C154="W",C154="H"),IF(OR(AND(C154="W",D154="F"),AND(C154="H",D154="M")),1,),IF(OR(D154="M",D154="F"),1,0))),0)</f>
        <v/>
      </c>
      <c r="AD154">
        <f>IFERROR(IF(OR(C154="E",C154="W",C154="H"),1,IF(C154 = "S",IF(D154="M",1,0),IF(D154 = "F",1,0))),0)</f>
        <v/>
      </c>
      <c r="AE154">
        <f>IFERROR(IF(OR(E154="M",E154="S"),IF(E154="M",IF(OR(C154="S",C154 = "D"),0,1),IF(OR(C154="W",C154="H"),0,1)),0),0)</f>
        <v/>
      </c>
      <c r="AF154">
        <f>IF(G154="",-1,IF(AND(G154&lt;=TODAY(),ISNUMBER(DATE(YEAR(G154),MONTH(G154),DAY(G154)))),IF(AND(OR(C154="S",C154="D"),J154&gt;24),-1,1),-1))</f>
        <v/>
      </c>
      <c r="AG154">
        <f>IF(OR(I154="CAT 1",I154="CAT 2",I154="CAT 3",I154="CAT 4"),1,0)</f>
        <v/>
      </c>
      <c r="AH154">
        <f>PRODUCT(AF154:AG154)*AE154</f>
        <v/>
      </c>
    </row>
    <row r="155" customFormat="1" s="12">
      <c r="A155" s="42" t="n">
        <v>154</v>
      </c>
      <c r="B155" s="43" t="n"/>
      <c r="C155" s="44" t="n"/>
      <c r="D155" s="45" t="n"/>
      <c r="E155" s="45" t="n"/>
      <c r="F155" s="39" t="n"/>
      <c r="G155" s="3" t="n"/>
      <c r="H155" s="3" t="n"/>
      <c r="I155" s="44" t="n"/>
      <c r="J155" s="42">
        <f>IFERROR(IF(G155="","",ROUNDDOWN(IF($G155="","",(inception_date-$G155)/365.25),0)),0)</f>
        <v/>
      </c>
      <c r="K155" s="42">
        <f>IF(I155="","",IF($AM$3=1,IFERROR(IF(J155=FALSE,"",VLOOKUP(J155,$AJ$1:$AK$18,2,1)),""),IFERROR(IF(J155 = "FALSE","",VLOOKUP(J155,#REF!,2,TRUE)),"")))</f>
        <v/>
      </c>
      <c r="L155" s="42" t="n"/>
      <c r="M155" s="42" t="n"/>
      <c r="N155" s="42" t="n"/>
      <c r="O155" s="46">
        <f>IF(C155="","",IF(R155=1,"Yes","No"))</f>
        <v/>
      </c>
      <c r="P155" s="57">
        <f>IFERROR(IF(C155="","",IF(AND(Census!C155="E",Census!J155&gt;=18,Census!J155&lt;=65),"Yes","No")),"ERROR")</f>
        <v/>
      </c>
      <c r="Q155" s="58">
        <f>IFERROR(IF(C155="","",IF(AND(Census!C155="E",Census!J155&gt;=18,Census!J155&lt;=64),"Yes","No")),"ERROR")</f>
        <v/>
      </c>
      <c r="R155" s="59">
        <f>IF(OR(AB155&lt;&gt;1,AC155&lt;&gt;1,AD155&lt;&gt;1,AF155&lt;&gt;1,AE155&lt;&gt;1,AG155&lt;&gt;1),-1,1)</f>
        <v/>
      </c>
      <c r="S155" s="60">
        <f>AB155</f>
        <v/>
      </c>
      <c r="T155" s="61">
        <f>AC155</f>
        <v/>
      </c>
      <c r="U155" s="61">
        <f>AD155</f>
        <v/>
      </c>
      <c r="V155" s="61">
        <f>AE155</f>
        <v/>
      </c>
      <c r="W155" s="61">
        <f>AF155</f>
        <v/>
      </c>
      <c r="X155" s="62">
        <f>AG155</f>
        <v/>
      </c>
      <c r="Y155" s="10" t="n"/>
      <c r="Z155" s="64" t="inlineStr">
        <is>
          <t>Lithuanian</t>
        </is>
      </c>
      <c r="AA155" s="10" t="n"/>
      <c r="AB155">
        <f>IFERROR(IF(OR(B155=0,B155=""),0,1),0)</f>
        <v/>
      </c>
      <c r="AC155">
        <f>IFERROR(IF(OR(C155="S",C155="D"),IF(AND(C155="D",D155="F"),1,IF(AND(C155="S",D155="M"),1,0)),IF(OR(C155="W",C155="H"),IF(OR(AND(C155="W",D155="F"),AND(C155="H",D155="M")),1,),IF(OR(D155="M",D155="F"),1,0))),0)</f>
        <v/>
      </c>
      <c r="AD155">
        <f>IFERROR(IF(OR(C155="E",C155="W",C155="H"),1,IF(C155 = "S",IF(D155="M",1,0),IF(D155 = "F",1,0))),0)</f>
        <v/>
      </c>
      <c r="AE155">
        <f>IFERROR(IF(OR(E155="M",E155="S"),IF(E155="M",IF(OR(C155="S",C155 = "D"),0,1),IF(OR(C155="W",C155="H"),0,1)),0),0)</f>
        <v/>
      </c>
      <c r="AF155">
        <f>IF(G155="",-1,IF(AND(G155&lt;=TODAY(),ISNUMBER(DATE(YEAR(G155),MONTH(G155),DAY(G155)))),IF(AND(OR(C155="S",C155="D"),J155&gt;24),-1,1),-1))</f>
        <v/>
      </c>
      <c r="AG155">
        <f>IF(OR(I155="CAT 1",I155="CAT 2",I155="CAT 3",I155="CAT 4"),1,0)</f>
        <v/>
      </c>
      <c r="AH155">
        <f>PRODUCT(AF155:AG155)*AE155</f>
        <v/>
      </c>
    </row>
    <row r="156" customFormat="1" s="12">
      <c r="A156" s="37" t="n">
        <v>155</v>
      </c>
      <c r="B156" s="38" t="n"/>
      <c r="C156" s="39" t="n"/>
      <c r="D156" s="40" t="n"/>
      <c r="E156" s="40" t="n"/>
      <c r="F156" s="39" t="n"/>
      <c r="G156" s="2" t="n"/>
      <c r="H156" s="2" t="n"/>
      <c r="I156" s="39" t="n"/>
      <c r="J156" s="50">
        <f>IFERROR(IF(G156="","",ROUNDDOWN(IF($G156="","",(inception_date-$G156)/365.25),0)),0)</f>
        <v/>
      </c>
      <c r="K156" s="37">
        <f>IF(I156="","",IF($AM$3=1,IFERROR(IF(J156=FALSE,"",VLOOKUP(J156,$AJ$1:$AK$18,2,1)),""),IFERROR(IF(J156 = "FALSE","",VLOOKUP(J156,#REF!,2,TRUE)),"")))</f>
        <v/>
      </c>
      <c r="L156" s="37" t="n"/>
      <c r="M156" s="37" t="n"/>
      <c r="N156" s="37" t="n"/>
      <c r="O156" s="41">
        <f>IF(C156="","",IF(R156=1,"Yes","No"))</f>
        <v/>
      </c>
      <c r="P156" s="51">
        <f>IFERROR(IF(C156="","",IF(AND(Census!C156="E",Census!J156&gt;=18,Census!J156&lt;=65),"Yes","No")),"ERROR")</f>
        <v/>
      </c>
      <c r="Q156" s="52">
        <f>IFERROR(IF(C156="","",IF(AND(Census!C156="E",Census!J156&gt;=18,Census!J156&lt;=64),"Yes","No")),"ERROR")</f>
        <v/>
      </c>
      <c r="R156" s="53">
        <f>IF(OR(AB156&lt;&gt;1,AC156&lt;&gt;1,AD156&lt;&gt;1,AF156&lt;&gt;1,AE156&lt;&gt;1,AG156&lt;&gt;1),-1,1)</f>
        <v/>
      </c>
      <c r="S156" s="54">
        <f>AB156</f>
        <v/>
      </c>
      <c r="T156" s="55">
        <f>AC156</f>
        <v/>
      </c>
      <c r="U156" s="55">
        <f>AD156</f>
        <v/>
      </c>
      <c r="V156" s="55">
        <f>AE156</f>
        <v/>
      </c>
      <c r="W156" s="55">
        <f>AF156</f>
        <v/>
      </c>
      <c r="X156" s="56">
        <f>AG156</f>
        <v/>
      </c>
      <c r="Y156" s="10" t="n"/>
      <c r="Z156" s="64" t="inlineStr">
        <is>
          <t>Luxembourg</t>
        </is>
      </c>
      <c r="AA156" s="10" t="n"/>
      <c r="AB156">
        <f>IFERROR(IF(OR(B156=0,B156=""),0,1),0)</f>
        <v/>
      </c>
      <c r="AC156">
        <f>IFERROR(IF(OR(C156="S",C156="D"),IF(AND(C156="D",D156="F"),1,IF(AND(C156="S",D156="M"),1,0)),IF(OR(C156="W",C156="H"),IF(OR(AND(C156="W",D156="F"),AND(C156="H",D156="M")),1,),IF(OR(D156="M",D156="F"),1,0))),0)</f>
        <v/>
      </c>
      <c r="AD156">
        <f>IFERROR(IF(OR(C156="E",C156="W",C156="H"),1,IF(C156 = "S",IF(D156="M",1,0),IF(D156 = "F",1,0))),0)</f>
        <v/>
      </c>
      <c r="AE156">
        <f>IFERROR(IF(OR(E156="M",E156="S"),IF(E156="M",IF(OR(C156="S",C156 = "D"),0,1),IF(OR(C156="W",C156="H"),0,1)),0),0)</f>
        <v/>
      </c>
      <c r="AF156">
        <f>IF(G156="",-1,IF(AND(G156&lt;=TODAY(),ISNUMBER(DATE(YEAR(G156),MONTH(G156),DAY(G156)))),IF(AND(OR(C156="S",C156="D"),J156&gt;24),-1,1),-1))</f>
        <v/>
      </c>
      <c r="AG156">
        <f>IF(OR(I156="CAT 1",I156="CAT 2",I156="CAT 3",I156="CAT 4"),1,0)</f>
        <v/>
      </c>
      <c r="AH156">
        <f>PRODUCT(AF156:AG156)*AE156</f>
        <v/>
      </c>
    </row>
    <row r="157" customFormat="1" s="12">
      <c r="A157" s="42" t="n">
        <v>156</v>
      </c>
      <c r="B157" s="43" t="n"/>
      <c r="C157" s="44" t="n"/>
      <c r="D157" s="45" t="n"/>
      <c r="E157" s="45" t="n"/>
      <c r="F157" s="39" t="n"/>
      <c r="G157" s="3" t="n"/>
      <c r="H157" s="3" t="n"/>
      <c r="I157" s="44" t="n"/>
      <c r="J157" s="42">
        <f>IFERROR(IF(G157="","",ROUNDDOWN(IF($G157="","",(inception_date-$G157)/365.25),0)),0)</f>
        <v/>
      </c>
      <c r="K157" s="42">
        <f>IF(I157="","",IF($AM$3=1,IFERROR(IF(J157=FALSE,"",VLOOKUP(J157,$AJ$1:$AK$18,2,1)),""),IFERROR(IF(J157 = "FALSE","",VLOOKUP(J157,#REF!,2,TRUE)),"")))</f>
        <v/>
      </c>
      <c r="L157" s="42" t="n"/>
      <c r="M157" s="42" t="n"/>
      <c r="N157" s="42" t="n"/>
      <c r="O157" s="46">
        <f>IF(C157="","",IF(R157=1,"Yes","No"))</f>
        <v/>
      </c>
      <c r="P157" s="57">
        <f>IFERROR(IF(C157="","",IF(AND(Census!C157="E",Census!J157&gt;=18,Census!J157&lt;=65),"Yes","No")),"ERROR")</f>
        <v/>
      </c>
      <c r="Q157" s="58">
        <f>IFERROR(IF(C157="","",IF(AND(Census!C157="E",Census!J157&gt;=18,Census!J157&lt;=64),"Yes","No")),"ERROR")</f>
        <v/>
      </c>
      <c r="R157" s="59">
        <f>IF(OR(AB157&lt;&gt;1,AC157&lt;&gt;1,AD157&lt;&gt;1,AF157&lt;&gt;1,AE157&lt;&gt;1,AG157&lt;&gt;1),-1,1)</f>
        <v/>
      </c>
      <c r="S157" s="60">
        <f>AB157</f>
        <v/>
      </c>
      <c r="T157" s="61">
        <f>AC157</f>
        <v/>
      </c>
      <c r="U157" s="61">
        <f>AD157</f>
        <v/>
      </c>
      <c r="V157" s="61">
        <f>AE157</f>
        <v/>
      </c>
      <c r="W157" s="61">
        <f>AF157</f>
        <v/>
      </c>
      <c r="X157" s="62">
        <f>AG157</f>
        <v/>
      </c>
      <c r="Y157" s="10" t="n"/>
      <c r="Z157" s="64" t="inlineStr">
        <is>
          <t>Macedonian</t>
        </is>
      </c>
      <c r="AA157" s="10" t="n"/>
      <c r="AB157">
        <f>IFERROR(IF(OR(B157=0,B157=""),0,1),0)</f>
        <v/>
      </c>
      <c r="AC157">
        <f>IFERROR(IF(OR(C157="S",C157="D"),IF(AND(C157="D",D157="F"),1,IF(AND(C157="S",D157="M"),1,0)),IF(OR(C157="W",C157="H"),IF(OR(AND(C157="W",D157="F"),AND(C157="H",D157="M")),1,),IF(OR(D157="M",D157="F"),1,0))),0)</f>
        <v/>
      </c>
      <c r="AD157">
        <f>IFERROR(IF(OR(C157="E",C157="W",C157="H"),1,IF(C157 = "S",IF(D157="M",1,0),IF(D157 = "F",1,0))),0)</f>
        <v/>
      </c>
      <c r="AE157">
        <f>IFERROR(IF(OR(E157="M",E157="S"),IF(E157="M",IF(OR(C157="S",C157 = "D"),0,1),IF(OR(C157="W",C157="H"),0,1)),0),0)</f>
        <v/>
      </c>
      <c r="AF157">
        <f>IF(G157="",-1,IF(AND(G157&lt;=TODAY(),ISNUMBER(DATE(YEAR(G157),MONTH(G157),DAY(G157)))),IF(AND(OR(C157="S",C157="D"),J157&gt;24),-1,1),-1))</f>
        <v/>
      </c>
      <c r="AG157">
        <f>IF(OR(I157="CAT 1",I157="CAT 2",I157="CAT 3",I157="CAT 4"),1,0)</f>
        <v/>
      </c>
      <c r="AH157">
        <f>PRODUCT(AF157:AG157)*AE157</f>
        <v/>
      </c>
    </row>
    <row r="158" customFormat="1" s="12">
      <c r="A158" s="37" t="n">
        <v>157</v>
      </c>
      <c r="B158" s="38" t="n"/>
      <c r="C158" s="39" t="n"/>
      <c r="D158" s="40" t="n"/>
      <c r="E158" s="40" t="n"/>
      <c r="F158" s="39" t="n"/>
      <c r="G158" s="2" t="n"/>
      <c r="H158" s="2" t="n"/>
      <c r="I158" s="39" t="n"/>
      <c r="J158" s="50">
        <f>IFERROR(IF(G158="","",ROUNDDOWN(IF($G158="","",(inception_date-$G158)/365.25),0)),0)</f>
        <v/>
      </c>
      <c r="K158" s="37">
        <f>IF(I158="","",IF($AM$3=1,IFERROR(IF(J158=FALSE,"",VLOOKUP(J158,$AJ$1:$AK$18,2,1)),""),IFERROR(IF(J158 = "FALSE","",VLOOKUP(J158,#REF!,2,TRUE)),"")))</f>
        <v/>
      </c>
      <c r="L158" s="37" t="n"/>
      <c r="M158" s="37" t="n"/>
      <c r="N158" s="37" t="n"/>
      <c r="O158" s="41">
        <f>IF(C158="","",IF(R158=1,"Yes","No"))</f>
        <v/>
      </c>
      <c r="P158" s="51">
        <f>IFERROR(IF(C158="","",IF(AND(Census!C158="E",Census!J158&gt;=18,Census!J158&lt;=65),"Yes","No")),"ERROR")</f>
        <v/>
      </c>
      <c r="Q158" s="52">
        <f>IFERROR(IF(C158="","",IF(AND(Census!C158="E",Census!J158&gt;=18,Census!J158&lt;=64),"Yes","No")),"ERROR")</f>
        <v/>
      </c>
      <c r="R158" s="53">
        <f>IF(OR(AB158&lt;&gt;1,AC158&lt;&gt;1,AD158&lt;&gt;1,AF158&lt;&gt;1,AE158&lt;&gt;1,AG158&lt;&gt;1),-1,1)</f>
        <v/>
      </c>
      <c r="S158" s="54">
        <f>AB158</f>
        <v/>
      </c>
      <c r="T158" s="55">
        <f>AC158</f>
        <v/>
      </c>
      <c r="U158" s="55">
        <f>AD158</f>
        <v/>
      </c>
      <c r="V158" s="55">
        <f>AE158</f>
        <v/>
      </c>
      <c r="W158" s="55">
        <f>AF158</f>
        <v/>
      </c>
      <c r="X158" s="56">
        <f>AG158</f>
        <v/>
      </c>
      <c r="Y158" s="10" t="n"/>
      <c r="Z158" s="64" t="inlineStr">
        <is>
          <t>Mahoran</t>
        </is>
      </c>
      <c r="AA158" s="10" t="n"/>
      <c r="AB158">
        <f>IFERROR(IF(OR(B158=0,B158=""),0,1),0)</f>
        <v/>
      </c>
      <c r="AC158">
        <f>IFERROR(IF(OR(C158="S",C158="D"),IF(AND(C158="D",D158="F"),1,IF(AND(C158="S",D158="M"),1,0)),IF(OR(C158="W",C158="H"),IF(OR(AND(C158="W",D158="F"),AND(C158="H",D158="M")),1,),IF(OR(D158="M",D158="F"),1,0))),0)</f>
        <v/>
      </c>
      <c r="AD158">
        <f>IFERROR(IF(OR(C158="E",C158="W",C158="H"),1,IF(C158 = "S",IF(D158="M",1,0),IF(D158 = "F",1,0))),0)</f>
        <v/>
      </c>
      <c r="AE158">
        <f>IFERROR(IF(OR(E158="M",E158="S"),IF(E158="M",IF(OR(C158="S",C158 = "D"),0,1),IF(OR(C158="W",C158="H"),0,1)),0),0)</f>
        <v/>
      </c>
      <c r="AF158">
        <f>IF(G158="",-1,IF(AND(G158&lt;=TODAY(),ISNUMBER(DATE(YEAR(G158),MONTH(G158),DAY(G158)))),IF(AND(OR(C158="S",C158="D"),J158&gt;24),-1,1),-1))</f>
        <v/>
      </c>
      <c r="AG158">
        <f>IF(OR(I158="CAT 1",I158="CAT 2",I158="CAT 3",I158="CAT 4"),1,0)</f>
        <v/>
      </c>
      <c r="AH158">
        <f>PRODUCT(AF158:AG158)*AE158</f>
        <v/>
      </c>
    </row>
    <row r="159" customFormat="1" s="12">
      <c r="A159" s="42" t="n">
        <v>158</v>
      </c>
      <c r="B159" s="43" t="n"/>
      <c r="C159" s="44" t="n"/>
      <c r="D159" s="45" t="n"/>
      <c r="E159" s="45" t="n"/>
      <c r="F159" s="39" t="n"/>
      <c r="G159" s="3" t="n"/>
      <c r="H159" s="3" t="n"/>
      <c r="I159" s="44" t="n"/>
      <c r="J159" s="42">
        <f>IFERROR(IF(G159="","",ROUNDDOWN(IF($G159="","",(inception_date-$G159)/365.25),0)),0)</f>
        <v/>
      </c>
      <c r="K159" s="42">
        <f>IF(I159="","",IF($AM$3=1,IFERROR(IF(J159=FALSE,"",VLOOKUP(J159,$AJ$1:$AK$18,2,1)),""),IFERROR(IF(J159 = "FALSE","",VLOOKUP(J159,#REF!,2,TRUE)),"")))</f>
        <v/>
      </c>
      <c r="L159" s="42" t="n"/>
      <c r="M159" s="42" t="n"/>
      <c r="N159" s="42" t="n"/>
      <c r="O159" s="46">
        <f>IF(C159="","",IF(R159=1,"Yes","No"))</f>
        <v/>
      </c>
      <c r="P159" s="57">
        <f>IFERROR(IF(C159="","",IF(AND(Census!C159="E",Census!J159&gt;=18,Census!J159&lt;=65),"Yes","No")),"ERROR")</f>
        <v/>
      </c>
      <c r="Q159" s="58">
        <f>IFERROR(IF(C159="","",IF(AND(Census!C159="E",Census!J159&gt;=18,Census!J159&lt;=64),"Yes","No")),"ERROR")</f>
        <v/>
      </c>
      <c r="R159" s="59">
        <f>IF(OR(AB159&lt;&gt;1,AC159&lt;&gt;1,AD159&lt;&gt;1,AF159&lt;&gt;1,AE159&lt;&gt;1,AG159&lt;&gt;1),-1,1)</f>
        <v/>
      </c>
      <c r="S159" s="60">
        <f>AB159</f>
        <v/>
      </c>
      <c r="T159" s="61">
        <f>AC159</f>
        <v/>
      </c>
      <c r="U159" s="61">
        <f>AD159</f>
        <v/>
      </c>
      <c r="V159" s="61">
        <f>AE159</f>
        <v/>
      </c>
      <c r="W159" s="61">
        <f>AF159</f>
        <v/>
      </c>
      <c r="X159" s="62">
        <f>AG159</f>
        <v/>
      </c>
      <c r="Y159" s="10" t="n"/>
      <c r="Z159" s="64" t="inlineStr">
        <is>
          <t>Malagasy</t>
        </is>
      </c>
      <c r="AA159" s="10" t="n"/>
      <c r="AB159">
        <f>IFERROR(IF(OR(B159=0,B159=""),0,1),0)</f>
        <v/>
      </c>
      <c r="AC159">
        <f>IFERROR(IF(OR(C159="S",C159="D"),IF(AND(C159="D",D159="F"),1,IF(AND(C159="S",D159="M"),1,0)),IF(OR(C159="W",C159="H"),IF(OR(AND(C159="W",D159="F"),AND(C159="H",D159="M")),1,),IF(OR(D159="M",D159="F"),1,0))),0)</f>
        <v/>
      </c>
      <c r="AD159">
        <f>IFERROR(IF(OR(C159="E",C159="W",C159="H"),1,IF(C159 = "S",IF(D159="M",1,0),IF(D159 = "F",1,0))),0)</f>
        <v/>
      </c>
      <c r="AE159">
        <f>IFERROR(IF(OR(E159="M",E159="S"),IF(E159="M",IF(OR(C159="S",C159 = "D"),0,1),IF(OR(C159="W",C159="H"),0,1)),0),0)</f>
        <v/>
      </c>
      <c r="AF159">
        <f>IF(G159="",-1,IF(AND(G159&lt;=TODAY(),ISNUMBER(DATE(YEAR(G159),MONTH(G159),DAY(G159)))),IF(AND(OR(C159="S",C159="D"),J159&gt;24),-1,1),-1))</f>
        <v/>
      </c>
      <c r="AG159">
        <f>IF(OR(I159="CAT 1",I159="CAT 2",I159="CAT 3",I159="CAT 4"),1,0)</f>
        <v/>
      </c>
      <c r="AH159">
        <f>PRODUCT(AF159:AG159)*AE159</f>
        <v/>
      </c>
    </row>
    <row r="160" customFormat="1" s="12">
      <c r="A160" s="37" t="n">
        <v>159</v>
      </c>
      <c r="B160" s="38" t="n"/>
      <c r="C160" s="39" t="n"/>
      <c r="D160" s="40" t="n"/>
      <c r="E160" s="40" t="n"/>
      <c r="F160" s="39" t="n"/>
      <c r="G160" s="2" t="n"/>
      <c r="H160" s="2" t="n"/>
      <c r="I160" s="39" t="n"/>
      <c r="J160" s="50">
        <f>IFERROR(IF(G160="","",ROUNDDOWN(IF($G160="","",(inception_date-$G160)/365.25),0)),0)</f>
        <v/>
      </c>
      <c r="K160" s="37">
        <f>IF(I160="","",IF($AM$3=1,IFERROR(IF(J160=FALSE,"",VLOOKUP(J160,$AJ$1:$AK$18,2,1)),""),IFERROR(IF(J160 = "FALSE","",VLOOKUP(J160,#REF!,2,TRUE)),"")))</f>
        <v/>
      </c>
      <c r="L160" s="37" t="n"/>
      <c r="M160" s="37" t="n"/>
      <c r="N160" s="37" t="n"/>
      <c r="O160" s="41">
        <f>IF(C160="","",IF(R160=1,"Yes","No"))</f>
        <v/>
      </c>
      <c r="P160" s="51">
        <f>IFERROR(IF(C160="","",IF(AND(Census!C160="E",Census!J160&gt;=18,Census!J160&lt;=65),"Yes","No")),"ERROR")</f>
        <v/>
      </c>
      <c r="Q160" s="52">
        <f>IFERROR(IF(C160="","",IF(AND(Census!C160="E",Census!J160&gt;=18,Census!J160&lt;=64),"Yes","No")),"ERROR")</f>
        <v/>
      </c>
      <c r="R160" s="53">
        <f>IF(OR(AB160&lt;&gt;1,AC160&lt;&gt;1,AD160&lt;&gt;1,AF160&lt;&gt;1,AE160&lt;&gt;1,AG160&lt;&gt;1),-1,1)</f>
        <v/>
      </c>
      <c r="S160" s="54">
        <f>AB160</f>
        <v/>
      </c>
      <c r="T160" s="55">
        <f>AC160</f>
        <v/>
      </c>
      <c r="U160" s="55">
        <f>AD160</f>
        <v/>
      </c>
      <c r="V160" s="55">
        <f>AE160</f>
        <v/>
      </c>
      <c r="W160" s="55">
        <f>AF160</f>
        <v/>
      </c>
      <c r="X160" s="56">
        <f>AG160</f>
        <v/>
      </c>
      <c r="Y160" s="10" t="n"/>
      <c r="Z160" s="64" t="inlineStr">
        <is>
          <t>Malawian</t>
        </is>
      </c>
      <c r="AA160" s="10" t="n"/>
      <c r="AB160">
        <f>IFERROR(IF(OR(B160=0,B160=""),0,1),0)</f>
        <v/>
      </c>
      <c r="AC160">
        <f>IFERROR(IF(OR(C160="S",C160="D"),IF(AND(C160="D",D160="F"),1,IF(AND(C160="S",D160="M"),1,0)),IF(OR(C160="W",C160="H"),IF(OR(AND(C160="W",D160="F"),AND(C160="H",D160="M")),1,),IF(OR(D160="M",D160="F"),1,0))),0)</f>
        <v/>
      </c>
      <c r="AD160">
        <f>IFERROR(IF(OR(C160="E",C160="W",C160="H"),1,IF(C160 = "S",IF(D160="M",1,0),IF(D160 = "F",1,0))),0)</f>
        <v/>
      </c>
      <c r="AE160">
        <f>IFERROR(IF(OR(E160="M",E160="S"),IF(E160="M",IF(OR(C160="S",C160 = "D"),0,1),IF(OR(C160="W",C160="H"),0,1)),0),0)</f>
        <v/>
      </c>
      <c r="AF160">
        <f>IF(G160="",-1,IF(AND(G160&lt;=TODAY(),ISNUMBER(DATE(YEAR(G160),MONTH(G160),DAY(G160)))),IF(AND(OR(C160="S",C160="D"),J160&gt;24),-1,1),-1))</f>
        <v/>
      </c>
      <c r="AG160">
        <f>IF(OR(I160="CAT 1",I160="CAT 2",I160="CAT 3",I160="CAT 4"),1,0)</f>
        <v/>
      </c>
      <c r="AH160">
        <f>PRODUCT(AF160:AG160)*AE160</f>
        <v/>
      </c>
    </row>
    <row r="161" customFormat="1" s="12">
      <c r="A161" s="42" t="n">
        <v>160</v>
      </c>
      <c r="B161" s="43" t="n"/>
      <c r="C161" s="44" t="n"/>
      <c r="D161" s="45" t="n"/>
      <c r="E161" s="45" t="n"/>
      <c r="F161" s="39" t="n"/>
      <c r="G161" s="3" t="n"/>
      <c r="H161" s="3" t="n"/>
      <c r="I161" s="44" t="n"/>
      <c r="J161" s="42">
        <f>IFERROR(IF(G161="","",ROUNDDOWN(IF($G161="","",(inception_date-$G161)/365.25),0)),0)</f>
        <v/>
      </c>
      <c r="K161" s="42">
        <f>IF(I161="","",IF($AM$3=1,IFERROR(IF(J161=FALSE,"",VLOOKUP(J161,$AJ$1:$AK$18,2,1)),""),IFERROR(IF(J161 = "FALSE","",VLOOKUP(J161,#REF!,2,TRUE)),"")))</f>
        <v/>
      </c>
      <c r="L161" s="42" t="n"/>
      <c r="M161" s="42" t="n"/>
      <c r="N161" s="42" t="n"/>
      <c r="O161" s="46">
        <f>IF(C161="","",IF(R161=1,"Yes","No"))</f>
        <v/>
      </c>
      <c r="P161" s="57">
        <f>IFERROR(IF(C161="","",IF(AND(Census!C161="E",Census!J161&gt;=18,Census!J161&lt;=65),"Yes","No")),"ERROR")</f>
        <v/>
      </c>
      <c r="Q161" s="58">
        <f>IFERROR(IF(C161="","",IF(AND(Census!C161="E",Census!J161&gt;=18,Census!J161&lt;=64),"Yes","No")),"ERROR")</f>
        <v/>
      </c>
      <c r="R161" s="59">
        <f>IF(OR(AB161&lt;&gt;1,AC161&lt;&gt;1,AD161&lt;&gt;1,AF161&lt;&gt;1,AE161&lt;&gt;1,AG161&lt;&gt;1),-1,1)</f>
        <v/>
      </c>
      <c r="S161" s="60">
        <f>AB161</f>
        <v/>
      </c>
      <c r="T161" s="61">
        <f>AC161</f>
        <v/>
      </c>
      <c r="U161" s="61">
        <f>AD161</f>
        <v/>
      </c>
      <c r="V161" s="61">
        <f>AE161</f>
        <v/>
      </c>
      <c r="W161" s="61">
        <f>AF161</f>
        <v/>
      </c>
      <c r="X161" s="62">
        <f>AG161</f>
        <v/>
      </c>
      <c r="Y161" s="10" t="n"/>
      <c r="Z161" s="64" t="inlineStr">
        <is>
          <t>Malaysian</t>
        </is>
      </c>
      <c r="AA161" s="10" t="n"/>
      <c r="AB161">
        <f>IFERROR(IF(OR(B161=0,B161=""),0,1),0)</f>
        <v/>
      </c>
      <c r="AC161">
        <f>IFERROR(IF(OR(C161="S",C161="D"),IF(AND(C161="D",D161="F"),1,IF(AND(C161="S",D161="M"),1,0)),IF(OR(C161="W",C161="H"),IF(OR(AND(C161="W",D161="F"),AND(C161="H",D161="M")),1,),IF(OR(D161="M",D161="F"),1,0))),0)</f>
        <v/>
      </c>
      <c r="AD161">
        <f>IFERROR(IF(OR(C161="E",C161="W",C161="H"),1,IF(C161 = "S",IF(D161="M",1,0),IF(D161 = "F",1,0))),0)</f>
        <v/>
      </c>
      <c r="AE161">
        <f>IFERROR(IF(OR(E161="M",E161="S"),IF(E161="M",IF(OR(C161="S",C161 = "D"),0,1),IF(OR(C161="W",C161="H"),0,1)),0),0)</f>
        <v/>
      </c>
      <c r="AF161">
        <f>IF(G161="",-1,IF(AND(G161&lt;=TODAY(),ISNUMBER(DATE(YEAR(G161),MONTH(G161),DAY(G161)))),IF(AND(OR(C161="S",C161="D"),J161&gt;24),-1,1),-1))</f>
        <v/>
      </c>
      <c r="AG161">
        <f>IF(OR(I161="CAT 1",I161="CAT 2",I161="CAT 3",I161="CAT 4"),1,0)</f>
        <v/>
      </c>
      <c r="AH161">
        <f>PRODUCT(AF161:AG161)*AE161</f>
        <v/>
      </c>
    </row>
    <row r="162" customFormat="1" s="12">
      <c r="A162" s="37" t="n">
        <v>161</v>
      </c>
      <c r="B162" s="38" t="n"/>
      <c r="C162" s="39" t="n"/>
      <c r="D162" s="40" t="n"/>
      <c r="E162" s="40" t="n"/>
      <c r="F162" s="39" t="n"/>
      <c r="G162" s="2" t="n"/>
      <c r="H162" s="2" t="n"/>
      <c r="I162" s="39" t="n"/>
      <c r="J162" s="50">
        <f>IFERROR(IF(G162="","",ROUNDDOWN(IF($G162="","",(inception_date-$G162)/365.25),0)),0)</f>
        <v/>
      </c>
      <c r="K162" s="37">
        <f>IF(I162="","",IF($AM$3=1,IFERROR(IF(J162=FALSE,"",VLOOKUP(J162,$AJ$1:$AK$18,2,1)),""),IFERROR(IF(J162 = "FALSE","",VLOOKUP(J162,#REF!,2,TRUE)),"")))</f>
        <v/>
      </c>
      <c r="L162" s="37" t="n"/>
      <c r="M162" s="37" t="n"/>
      <c r="N162" s="37" t="n"/>
      <c r="O162" s="41">
        <f>IF(C162="","",IF(R162=1,"Yes","No"))</f>
        <v/>
      </c>
      <c r="P162" s="51">
        <f>IFERROR(IF(C162="","",IF(AND(Census!C162="E",Census!J162&gt;=18,Census!J162&lt;=65),"Yes","No")),"ERROR")</f>
        <v/>
      </c>
      <c r="Q162" s="52">
        <f>IFERROR(IF(C162="","",IF(AND(Census!C162="E",Census!J162&gt;=18,Census!J162&lt;=64),"Yes","No")),"ERROR")</f>
        <v/>
      </c>
      <c r="R162" s="53">
        <f>IF(OR(AB162&lt;&gt;1,AC162&lt;&gt;1,AD162&lt;&gt;1,AF162&lt;&gt;1,AE162&lt;&gt;1,AG162&lt;&gt;1),-1,1)</f>
        <v/>
      </c>
      <c r="S162" s="54">
        <f>AB162</f>
        <v/>
      </c>
      <c r="T162" s="55">
        <f>AC162</f>
        <v/>
      </c>
      <c r="U162" s="55">
        <f>AD162</f>
        <v/>
      </c>
      <c r="V162" s="55">
        <f>AE162</f>
        <v/>
      </c>
      <c r="W162" s="55">
        <f>AF162</f>
        <v/>
      </c>
      <c r="X162" s="56">
        <f>AG162</f>
        <v/>
      </c>
      <c r="Y162" s="10" t="n"/>
      <c r="Z162" s="64" t="inlineStr">
        <is>
          <t>Maldivian</t>
        </is>
      </c>
      <c r="AA162" s="10" t="n"/>
      <c r="AB162">
        <f>IFERROR(IF(OR(B162=0,B162=""),0,1),0)</f>
        <v/>
      </c>
      <c r="AC162">
        <f>IFERROR(IF(OR(C162="S",C162="D"),IF(AND(C162="D",D162="F"),1,IF(AND(C162="S",D162="M"),1,0)),IF(OR(C162="W",C162="H"),IF(OR(AND(C162="W",D162="F"),AND(C162="H",D162="M")),1,),IF(OR(D162="M",D162="F"),1,0))),0)</f>
        <v/>
      </c>
      <c r="AD162">
        <f>IFERROR(IF(OR(C162="E",C162="W",C162="H"),1,IF(C162 = "S",IF(D162="M",1,0),IF(D162 = "F",1,0))),0)</f>
        <v/>
      </c>
      <c r="AE162">
        <f>IFERROR(IF(OR(E162="M",E162="S"),IF(E162="M",IF(OR(C162="S",C162 = "D"),0,1),IF(OR(C162="W",C162="H"),0,1)),0),0)</f>
        <v/>
      </c>
      <c r="AF162">
        <f>IF(G162="",-1,IF(AND(G162&lt;=TODAY(),ISNUMBER(DATE(YEAR(G162),MONTH(G162),DAY(G162)))),IF(AND(OR(C162="S",C162="D"),J162&gt;24),-1,1),-1))</f>
        <v/>
      </c>
      <c r="AG162">
        <f>IF(OR(I162="CAT 1",I162="CAT 2",I162="CAT 3",I162="CAT 4"),1,0)</f>
        <v/>
      </c>
      <c r="AH162">
        <f>PRODUCT(AF162:AG162)*AE162</f>
        <v/>
      </c>
    </row>
    <row r="163" customFormat="1" s="12">
      <c r="A163" s="42" t="n">
        <v>162</v>
      </c>
      <c r="B163" s="43" t="n"/>
      <c r="C163" s="44" t="n"/>
      <c r="D163" s="45" t="n"/>
      <c r="E163" s="45" t="n"/>
      <c r="F163" s="39" t="n"/>
      <c r="G163" s="3" t="n"/>
      <c r="H163" s="3" t="n"/>
      <c r="I163" s="44" t="n"/>
      <c r="J163" s="42">
        <f>IFERROR(IF(G163="","",ROUNDDOWN(IF($G163="","",(inception_date-$G163)/365.25),0)),0)</f>
        <v/>
      </c>
      <c r="K163" s="42">
        <f>IF(I163="","",IF($AM$3=1,IFERROR(IF(J163=FALSE,"",VLOOKUP(J163,$AJ$1:$AK$18,2,1)),""),IFERROR(IF(J163 = "FALSE","",VLOOKUP(J163,#REF!,2,TRUE)),"")))</f>
        <v/>
      </c>
      <c r="L163" s="42" t="n"/>
      <c r="M163" s="42" t="n"/>
      <c r="N163" s="42" t="n"/>
      <c r="O163" s="46">
        <f>IF(C163="","",IF(R163=1,"Yes","No"))</f>
        <v/>
      </c>
      <c r="P163" s="57">
        <f>IFERROR(IF(C163="","",IF(AND(Census!C163="E",Census!J163&gt;=18,Census!J163&lt;=65),"Yes","No")),"ERROR")</f>
        <v/>
      </c>
      <c r="Q163" s="58">
        <f>IFERROR(IF(C163="","",IF(AND(Census!C163="E",Census!J163&gt;=18,Census!J163&lt;=64),"Yes","No")),"ERROR")</f>
        <v/>
      </c>
      <c r="R163" s="59">
        <f>IF(OR(AB163&lt;&gt;1,AC163&lt;&gt;1,AD163&lt;&gt;1,AF163&lt;&gt;1,AE163&lt;&gt;1,AG163&lt;&gt;1),-1,1)</f>
        <v/>
      </c>
      <c r="S163" s="60">
        <f>AB163</f>
        <v/>
      </c>
      <c r="T163" s="61">
        <f>AC163</f>
        <v/>
      </c>
      <c r="U163" s="61">
        <f>AD163</f>
        <v/>
      </c>
      <c r="V163" s="61">
        <f>AE163</f>
        <v/>
      </c>
      <c r="W163" s="61">
        <f>AF163</f>
        <v/>
      </c>
      <c r="X163" s="62">
        <f>AG163</f>
        <v/>
      </c>
      <c r="Y163" s="10" t="n"/>
      <c r="Z163" s="64" t="inlineStr">
        <is>
          <t>Malian</t>
        </is>
      </c>
      <c r="AA163" s="10" t="n"/>
      <c r="AB163">
        <f>IFERROR(IF(OR(B163=0,B163=""),0,1),0)</f>
        <v/>
      </c>
      <c r="AC163">
        <f>IFERROR(IF(OR(C163="S",C163="D"),IF(AND(C163="D",D163="F"),1,IF(AND(C163="S",D163="M"),1,0)),IF(OR(C163="W",C163="H"),IF(OR(AND(C163="W",D163="F"),AND(C163="H",D163="M")),1,),IF(OR(D163="M",D163="F"),1,0))),0)</f>
        <v/>
      </c>
      <c r="AD163">
        <f>IFERROR(IF(OR(C163="E",C163="W",C163="H"),1,IF(C163 = "S",IF(D163="M",1,0),IF(D163 = "F",1,0))),0)</f>
        <v/>
      </c>
      <c r="AE163">
        <f>IFERROR(IF(OR(E163="M",E163="S"),IF(E163="M",IF(OR(C163="S",C163 = "D"),0,1),IF(OR(C163="W",C163="H"),0,1)),0),0)</f>
        <v/>
      </c>
      <c r="AF163">
        <f>IF(G163="",-1,IF(AND(G163&lt;=TODAY(),ISNUMBER(DATE(YEAR(G163),MONTH(G163),DAY(G163)))),IF(AND(OR(C163="S",C163="D"),J163&gt;24),-1,1),-1))</f>
        <v/>
      </c>
      <c r="AG163">
        <f>IF(OR(I163="CAT 1",I163="CAT 2",I163="CAT 3",I163="CAT 4"),1,0)</f>
        <v/>
      </c>
      <c r="AH163">
        <f>PRODUCT(AF163:AG163)*AE163</f>
        <v/>
      </c>
    </row>
    <row r="164" customFormat="1" s="12">
      <c r="A164" s="37" t="n">
        <v>163</v>
      </c>
      <c r="B164" s="38" t="n"/>
      <c r="C164" s="39" t="n"/>
      <c r="D164" s="40" t="n"/>
      <c r="E164" s="40" t="n"/>
      <c r="F164" s="39" t="n"/>
      <c r="G164" s="2" t="n"/>
      <c r="H164" s="2" t="n"/>
      <c r="I164" s="39" t="n"/>
      <c r="J164" s="50">
        <f>IFERROR(IF(G164="","",ROUNDDOWN(IF($G164="","",(inception_date-$G164)/365.25),0)),0)</f>
        <v/>
      </c>
      <c r="K164" s="37">
        <f>IF(I164="","",IF($AM$3=1,IFERROR(IF(J164=FALSE,"",VLOOKUP(J164,$AJ$1:$AK$18,2,1)),""),IFERROR(IF(J164 = "FALSE","",VLOOKUP(J164,#REF!,2,TRUE)),"")))</f>
        <v/>
      </c>
      <c r="L164" s="37" t="n"/>
      <c r="M164" s="37" t="n"/>
      <c r="N164" s="37" t="n"/>
      <c r="O164" s="41">
        <f>IF(C164="","",IF(R164=1,"Yes","No"))</f>
        <v/>
      </c>
      <c r="P164" s="51">
        <f>IFERROR(IF(C164="","",IF(AND(Census!C164="E",Census!J164&gt;=18,Census!J164&lt;=65),"Yes","No")),"ERROR")</f>
        <v/>
      </c>
      <c r="Q164" s="52">
        <f>IFERROR(IF(C164="","",IF(AND(Census!C164="E",Census!J164&gt;=18,Census!J164&lt;=64),"Yes","No")),"ERROR")</f>
        <v/>
      </c>
      <c r="R164" s="53">
        <f>IF(OR(AB164&lt;&gt;1,AC164&lt;&gt;1,AD164&lt;&gt;1,AF164&lt;&gt;1,AE164&lt;&gt;1,AG164&lt;&gt;1),-1,1)</f>
        <v/>
      </c>
      <c r="S164" s="54">
        <f>AB164</f>
        <v/>
      </c>
      <c r="T164" s="55">
        <f>AC164</f>
        <v/>
      </c>
      <c r="U164" s="55">
        <f>AD164</f>
        <v/>
      </c>
      <c r="V164" s="55">
        <f>AE164</f>
        <v/>
      </c>
      <c r="W164" s="55">
        <f>AF164</f>
        <v/>
      </c>
      <c r="X164" s="56">
        <f>AG164</f>
        <v/>
      </c>
      <c r="Y164" s="10" t="n"/>
      <c r="Z164" s="64" t="inlineStr">
        <is>
          <t>Malta</t>
        </is>
      </c>
      <c r="AA164" s="10" t="n"/>
      <c r="AB164">
        <f>IFERROR(IF(OR(B164=0,B164=""),0,1),0)</f>
        <v/>
      </c>
      <c r="AC164">
        <f>IFERROR(IF(OR(C164="S",C164="D"),IF(AND(C164="D",D164="F"),1,IF(AND(C164="S",D164="M"),1,0)),IF(OR(C164="W",C164="H"),IF(OR(AND(C164="W",D164="F"),AND(C164="H",D164="M")),1,),IF(OR(D164="M",D164="F"),1,0))),0)</f>
        <v/>
      </c>
      <c r="AD164">
        <f>IFERROR(IF(OR(C164="E",C164="W",C164="H"),1,IF(C164 = "S",IF(D164="M",1,0),IF(D164 = "F",1,0))),0)</f>
        <v/>
      </c>
      <c r="AE164">
        <f>IFERROR(IF(OR(E164="M",E164="S"),IF(E164="M",IF(OR(C164="S",C164 = "D"),0,1),IF(OR(C164="W",C164="H"),0,1)),0),0)</f>
        <v/>
      </c>
      <c r="AF164">
        <f>IF(G164="",-1,IF(AND(G164&lt;=TODAY(),ISNUMBER(DATE(YEAR(G164),MONTH(G164),DAY(G164)))),IF(AND(OR(C164="S",C164="D"),J164&gt;24),-1,1),-1))</f>
        <v/>
      </c>
      <c r="AG164">
        <f>IF(OR(I164="CAT 1",I164="CAT 2",I164="CAT 3",I164="CAT 4"),1,0)</f>
        <v/>
      </c>
      <c r="AH164">
        <f>PRODUCT(AF164:AG164)*AE164</f>
        <v/>
      </c>
    </row>
    <row r="165" customFormat="1" s="12">
      <c r="A165" s="42" t="n">
        <v>164</v>
      </c>
      <c r="B165" s="43" t="n"/>
      <c r="C165" s="44" t="n"/>
      <c r="D165" s="45" t="n"/>
      <c r="E165" s="45" t="n"/>
      <c r="F165" s="39" t="n"/>
      <c r="G165" s="3" t="n"/>
      <c r="H165" s="3" t="n"/>
      <c r="I165" s="44" t="n"/>
      <c r="J165" s="42">
        <f>IFERROR(IF(G165="","",ROUNDDOWN(IF($G165="","",(inception_date-$G165)/365.25),0)),0)</f>
        <v/>
      </c>
      <c r="K165" s="42">
        <f>IF(I165="","",IF($AM$3=1,IFERROR(IF(J165=FALSE,"",VLOOKUP(J165,$AJ$1:$AK$18,2,1)),""),IFERROR(IF(J165 = "FALSE","",VLOOKUP(J165,#REF!,2,TRUE)),"")))</f>
        <v/>
      </c>
      <c r="L165" s="42" t="n"/>
      <c r="M165" s="42" t="n"/>
      <c r="N165" s="42" t="n"/>
      <c r="O165" s="46">
        <f>IF(C165="","",IF(R165=1,"Yes","No"))</f>
        <v/>
      </c>
      <c r="P165" s="57">
        <f>IFERROR(IF(C165="","",IF(AND(Census!C165="E",Census!J165&gt;=18,Census!J165&lt;=65),"Yes","No")),"ERROR")</f>
        <v/>
      </c>
      <c r="Q165" s="58">
        <f>IFERROR(IF(C165="","",IF(AND(Census!C165="E",Census!J165&gt;=18,Census!J165&lt;=64),"Yes","No")),"ERROR")</f>
        <v/>
      </c>
      <c r="R165" s="59">
        <f>IF(OR(AB165&lt;&gt;1,AC165&lt;&gt;1,AD165&lt;&gt;1,AF165&lt;&gt;1,AE165&lt;&gt;1,AG165&lt;&gt;1),-1,1)</f>
        <v/>
      </c>
      <c r="S165" s="60">
        <f>AB165</f>
        <v/>
      </c>
      <c r="T165" s="61">
        <f>AC165</f>
        <v/>
      </c>
      <c r="U165" s="61">
        <f>AD165</f>
        <v/>
      </c>
      <c r="V165" s="61">
        <f>AE165</f>
        <v/>
      </c>
      <c r="W165" s="61">
        <f>AF165</f>
        <v/>
      </c>
      <c r="X165" s="62">
        <f>AG165</f>
        <v/>
      </c>
      <c r="Y165" s="10" t="n"/>
      <c r="Z165" s="64" t="inlineStr">
        <is>
          <t>Maltese</t>
        </is>
      </c>
      <c r="AA165" s="10" t="n"/>
      <c r="AB165">
        <f>IFERROR(IF(OR(B165=0,B165=""),0,1),0)</f>
        <v/>
      </c>
      <c r="AC165">
        <f>IFERROR(IF(OR(C165="S",C165="D"),IF(AND(C165="D",D165="F"),1,IF(AND(C165="S",D165="M"),1,0)),IF(OR(C165="W",C165="H"),IF(OR(AND(C165="W",D165="F"),AND(C165="H",D165="M")),1,),IF(OR(D165="M",D165="F"),1,0))),0)</f>
        <v/>
      </c>
      <c r="AD165">
        <f>IFERROR(IF(OR(C165="E",C165="W",C165="H"),1,IF(C165 = "S",IF(D165="M",1,0),IF(D165 = "F",1,0))),0)</f>
        <v/>
      </c>
      <c r="AE165">
        <f>IFERROR(IF(OR(E165="M",E165="S"),IF(E165="M",IF(OR(C165="S",C165 = "D"),0,1),IF(OR(C165="W",C165="H"),0,1)),0),0)</f>
        <v/>
      </c>
      <c r="AF165">
        <f>IF(G165="",-1,IF(AND(G165&lt;=TODAY(),ISNUMBER(DATE(YEAR(G165),MONTH(G165),DAY(G165)))),IF(AND(OR(C165="S",C165="D"),J165&gt;24),-1,1),-1))</f>
        <v/>
      </c>
      <c r="AG165">
        <f>IF(OR(I165="CAT 1",I165="CAT 2",I165="CAT 3",I165="CAT 4"),1,0)</f>
        <v/>
      </c>
      <c r="AH165">
        <f>PRODUCT(AF165:AG165)*AE165</f>
        <v/>
      </c>
    </row>
    <row r="166" customFormat="1" s="12">
      <c r="A166" s="37" t="n">
        <v>165</v>
      </c>
      <c r="B166" s="38" t="n"/>
      <c r="C166" s="39" t="n"/>
      <c r="D166" s="40" t="n"/>
      <c r="E166" s="40" t="n"/>
      <c r="F166" s="39" t="n"/>
      <c r="G166" s="2" t="n"/>
      <c r="H166" s="2" t="n"/>
      <c r="I166" s="39" t="n"/>
      <c r="J166" s="50">
        <f>IFERROR(IF(G166="","",ROUNDDOWN(IF($G166="","",(inception_date-$G166)/365.25),0)),0)</f>
        <v/>
      </c>
      <c r="K166" s="37">
        <f>IF(I166="","",IF($AM$3=1,IFERROR(IF(J166=FALSE,"",VLOOKUP(J166,$AJ$1:$AK$18,2,1)),""),IFERROR(IF(J166 = "FALSE","",VLOOKUP(J166,#REF!,2,TRUE)),"")))</f>
        <v/>
      </c>
      <c r="L166" s="37" t="n"/>
      <c r="M166" s="37" t="n"/>
      <c r="N166" s="37" t="n"/>
      <c r="O166" s="41">
        <f>IF(C166="","",IF(R166=1,"Yes","No"))</f>
        <v/>
      </c>
      <c r="P166" s="51">
        <f>IFERROR(IF(C166="","",IF(AND(Census!C166="E",Census!J166&gt;=18,Census!J166&lt;=65),"Yes","No")),"ERROR")</f>
        <v/>
      </c>
      <c r="Q166" s="52">
        <f>IFERROR(IF(C166="","",IF(AND(Census!C166="E",Census!J166&gt;=18,Census!J166&lt;=64),"Yes","No")),"ERROR")</f>
        <v/>
      </c>
      <c r="R166" s="53">
        <f>IF(OR(AB166&lt;&gt;1,AC166&lt;&gt;1,AD166&lt;&gt;1,AF166&lt;&gt;1,AE166&lt;&gt;1,AG166&lt;&gt;1),-1,1)</f>
        <v/>
      </c>
      <c r="S166" s="54">
        <f>AB166</f>
        <v/>
      </c>
      <c r="T166" s="55">
        <f>AC166</f>
        <v/>
      </c>
      <c r="U166" s="55">
        <f>AD166</f>
        <v/>
      </c>
      <c r="V166" s="55">
        <f>AE166</f>
        <v/>
      </c>
      <c r="W166" s="55">
        <f>AF166</f>
        <v/>
      </c>
      <c r="X166" s="56">
        <f>AG166</f>
        <v/>
      </c>
      <c r="Y166" s="10" t="n"/>
      <c r="Z166" s="64" t="inlineStr">
        <is>
          <t>Marshallese</t>
        </is>
      </c>
      <c r="AA166" s="10" t="n"/>
      <c r="AB166">
        <f>IFERROR(IF(OR(B166=0,B166=""),0,1),0)</f>
        <v/>
      </c>
      <c r="AC166">
        <f>IFERROR(IF(OR(C166="S",C166="D"),IF(AND(C166="D",D166="F"),1,IF(AND(C166="S",D166="M"),1,0)),IF(OR(C166="W",C166="H"),IF(OR(AND(C166="W",D166="F"),AND(C166="H",D166="M")),1,),IF(OR(D166="M",D166="F"),1,0))),0)</f>
        <v/>
      </c>
      <c r="AD166">
        <f>IFERROR(IF(OR(C166="E",C166="W",C166="H"),1,IF(C166 = "S",IF(D166="M",1,0),IF(D166 = "F",1,0))),0)</f>
        <v/>
      </c>
      <c r="AE166">
        <f>IFERROR(IF(OR(E166="M",E166="S"),IF(E166="M",IF(OR(C166="S",C166 = "D"),0,1),IF(OR(C166="W",C166="H"),0,1)),0),0)</f>
        <v/>
      </c>
      <c r="AF166">
        <f>IF(G166="",-1,IF(AND(G166&lt;=TODAY(),ISNUMBER(DATE(YEAR(G166),MONTH(G166),DAY(G166)))),IF(AND(OR(C166="S",C166="D"),J166&gt;24),-1,1),-1))</f>
        <v/>
      </c>
      <c r="AG166">
        <f>IF(OR(I166="CAT 1",I166="CAT 2",I166="CAT 3",I166="CAT 4"),1,0)</f>
        <v/>
      </c>
      <c r="AH166">
        <f>PRODUCT(AF166:AG166)*AE166</f>
        <v/>
      </c>
    </row>
    <row r="167" customFormat="1" s="12">
      <c r="A167" s="42" t="n">
        <v>166</v>
      </c>
      <c r="B167" s="43" t="n"/>
      <c r="C167" s="44" t="n"/>
      <c r="D167" s="45" t="n"/>
      <c r="E167" s="45" t="n"/>
      <c r="F167" s="39" t="n"/>
      <c r="G167" s="3" t="n"/>
      <c r="H167" s="3" t="n"/>
      <c r="I167" s="44" t="n"/>
      <c r="J167" s="42">
        <f>IFERROR(IF(G167="","",ROUNDDOWN(IF($G167="","",(inception_date-$G167)/365.25),0)),0)</f>
        <v/>
      </c>
      <c r="K167" s="42">
        <f>IF(I167="","",IF($AM$3=1,IFERROR(IF(J167=FALSE,"",VLOOKUP(J167,$AJ$1:$AK$18,2,1)),""),IFERROR(IF(J167 = "FALSE","",VLOOKUP(J167,#REF!,2,TRUE)),"")))</f>
        <v/>
      </c>
      <c r="L167" s="42" t="n"/>
      <c r="M167" s="42" t="n"/>
      <c r="N167" s="42" t="n"/>
      <c r="O167" s="46">
        <f>IF(C167="","",IF(R167=1,"Yes","No"))</f>
        <v/>
      </c>
      <c r="P167" s="57">
        <f>IFERROR(IF(C167="","",IF(AND(Census!C167="E",Census!J167&gt;=18,Census!J167&lt;=65),"Yes","No")),"ERROR")</f>
        <v/>
      </c>
      <c r="Q167" s="58">
        <f>IFERROR(IF(C167="","",IF(AND(Census!C167="E",Census!J167&gt;=18,Census!J167&lt;=64),"Yes","No")),"ERROR")</f>
        <v/>
      </c>
      <c r="R167" s="59">
        <f>IF(OR(AB167&lt;&gt;1,AC167&lt;&gt;1,AD167&lt;&gt;1,AF167&lt;&gt;1,AE167&lt;&gt;1,AG167&lt;&gt;1),-1,1)</f>
        <v/>
      </c>
      <c r="S167" s="60">
        <f>AB167</f>
        <v/>
      </c>
      <c r="T167" s="61">
        <f>AC167</f>
        <v/>
      </c>
      <c r="U167" s="61">
        <f>AD167</f>
        <v/>
      </c>
      <c r="V167" s="61">
        <f>AE167</f>
        <v/>
      </c>
      <c r="W167" s="61">
        <f>AF167</f>
        <v/>
      </c>
      <c r="X167" s="62">
        <f>AG167</f>
        <v/>
      </c>
      <c r="Y167" s="10" t="n"/>
      <c r="Z167" s="64" t="inlineStr">
        <is>
          <t>Mauritanian</t>
        </is>
      </c>
      <c r="AA167" s="10" t="n"/>
      <c r="AB167">
        <f>IFERROR(IF(OR(B167=0,B167=""),0,1),0)</f>
        <v/>
      </c>
      <c r="AC167">
        <f>IFERROR(IF(OR(C167="S",C167="D"),IF(AND(C167="D",D167="F"),1,IF(AND(C167="S",D167="M"),1,0)),IF(OR(C167="W",C167="H"),IF(OR(AND(C167="W",D167="F"),AND(C167="H",D167="M")),1,),IF(OR(D167="M",D167="F"),1,0))),0)</f>
        <v/>
      </c>
      <c r="AD167">
        <f>IFERROR(IF(OR(C167="E",C167="W",C167="H"),1,IF(C167 = "S",IF(D167="M",1,0),IF(D167 = "F",1,0))),0)</f>
        <v/>
      </c>
      <c r="AE167">
        <f>IFERROR(IF(OR(E167="M",E167="S"),IF(E167="M",IF(OR(C167="S",C167 = "D"),0,1),IF(OR(C167="W",C167="H"),0,1)),0),0)</f>
        <v/>
      </c>
      <c r="AF167">
        <f>IF(G167="",-1,IF(AND(G167&lt;=TODAY(),ISNUMBER(DATE(YEAR(G167),MONTH(G167),DAY(G167)))),IF(AND(OR(C167="S",C167="D"),J167&gt;24),-1,1),-1))</f>
        <v/>
      </c>
      <c r="AG167">
        <f>IF(OR(I167="CAT 1",I167="CAT 2",I167="CAT 3",I167="CAT 4"),1,0)</f>
        <v/>
      </c>
      <c r="AH167">
        <f>PRODUCT(AF167:AG167)*AE167</f>
        <v/>
      </c>
    </row>
    <row r="168" customFormat="1" s="12">
      <c r="A168" s="37" t="n">
        <v>167</v>
      </c>
      <c r="B168" s="38" t="n"/>
      <c r="C168" s="39" t="n"/>
      <c r="D168" s="40" t="n"/>
      <c r="E168" s="40" t="n"/>
      <c r="F168" s="39" t="n"/>
      <c r="G168" s="2" t="n"/>
      <c r="H168" s="2" t="n"/>
      <c r="I168" s="39" t="n"/>
      <c r="J168" s="50">
        <f>IFERROR(IF(G168="","",ROUNDDOWN(IF($G168="","",(inception_date-$G168)/365.25),0)),0)</f>
        <v/>
      </c>
      <c r="K168" s="37">
        <f>IF(I168="","",IF($AM$3=1,IFERROR(IF(J168=FALSE,"",VLOOKUP(J168,$AJ$1:$AK$18,2,1)),""),IFERROR(IF(J168 = "FALSE","",VLOOKUP(J168,#REF!,2,TRUE)),"")))</f>
        <v/>
      </c>
      <c r="L168" s="37" t="n"/>
      <c r="M168" s="37" t="n"/>
      <c r="N168" s="37" t="n"/>
      <c r="O168" s="41">
        <f>IF(C168="","",IF(R168=1,"Yes","No"))</f>
        <v/>
      </c>
      <c r="P168" s="51">
        <f>IFERROR(IF(C168="","",IF(AND(Census!C168="E",Census!J168&gt;=18,Census!J168&lt;=65),"Yes","No")),"ERROR")</f>
        <v/>
      </c>
      <c r="Q168" s="52">
        <f>IFERROR(IF(C168="","",IF(AND(Census!C168="E",Census!J168&gt;=18,Census!J168&lt;=64),"Yes","No")),"ERROR")</f>
        <v/>
      </c>
      <c r="R168" s="53">
        <f>IF(OR(AB168&lt;&gt;1,AC168&lt;&gt;1,AD168&lt;&gt;1,AF168&lt;&gt;1,AE168&lt;&gt;1,AG168&lt;&gt;1),-1,1)</f>
        <v/>
      </c>
      <c r="S168" s="54">
        <f>AB168</f>
        <v/>
      </c>
      <c r="T168" s="55">
        <f>AC168</f>
        <v/>
      </c>
      <c r="U168" s="55">
        <f>AD168</f>
        <v/>
      </c>
      <c r="V168" s="55">
        <f>AE168</f>
        <v/>
      </c>
      <c r="W168" s="55">
        <f>AF168</f>
        <v/>
      </c>
      <c r="X168" s="56">
        <f>AG168</f>
        <v/>
      </c>
      <c r="Y168" s="10" t="n"/>
      <c r="Z168" s="64" t="inlineStr">
        <is>
          <t>Mauritian</t>
        </is>
      </c>
      <c r="AA168" s="10" t="n"/>
      <c r="AB168">
        <f>IFERROR(IF(OR(B168=0,B168=""),0,1),0)</f>
        <v/>
      </c>
      <c r="AC168">
        <f>IFERROR(IF(OR(C168="S",C168="D"),IF(AND(C168="D",D168="F"),1,IF(AND(C168="S",D168="M"),1,0)),IF(OR(C168="W",C168="H"),IF(OR(AND(C168="W",D168="F"),AND(C168="H",D168="M")),1,),IF(OR(D168="M",D168="F"),1,0))),0)</f>
        <v/>
      </c>
      <c r="AD168">
        <f>IFERROR(IF(OR(C168="E",C168="W",C168="H"),1,IF(C168 = "S",IF(D168="M",1,0),IF(D168 = "F",1,0))),0)</f>
        <v/>
      </c>
      <c r="AE168">
        <f>IFERROR(IF(OR(E168="M",E168="S"),IF(E168="M",IF(OR(C168="S",C168 = "D"),0,1),IF(OR(C168="W",C168="H"),0,1)),0),0)</f>
        <v/>
      </c>
      <c r="AF168">
        <f>IF(G168="",-1,IF(AND(G168&lt;=TODAY(),ISNUMBER(DATE(YEAR(G168),MONTH(G168),DAY(G168)))),IF(AND(OR(C168="S",C168="D"),J168&gt;24),-1,1),-1))</f>
        <v/>
      </c>
      <c r="AG168">
        <f>IF(OR(I168="CAT 1",I168="CAT 2",I168="CAT 3",I168="CAT 4"),1,0)</f>
        <v/>
      </c>
      <c r="AH168">
        <f>PRODUCT(AF168:AG168)*AE168</f>
        <v/>
      </c>
    </row>
    <row r="169" customFormat="1" s="12">
      <c r="A169" s="42" t="n">
        <v>168</v>
      </c>
      <c r="B169" s="43" t="n"/>
      <c r="C169" s="44" t="n"/>
      <c r="D169" s="45" t="n"/>
      <c r="E169" s="45" t="n"/>
      <c r="F169" s="39" t="n"/>
      <c r="G169" s="3" t="n"/>
      <c r="H169" s="3" t="n"/>
      <c r="I169" s="44" t="n"/>
      <c r="J169" s="42">
        <f>IFERROR(IF(G169="","",ROUNDDOWN(IF($G169="","",(inception_date-$G169)/365.25),0)),0)</f>
        <v/>
      </c>
      <c r="K169" s="42">
        <f>IF(I169="","",IF($AM$3=1,IFERROR(IF(J169=FALSE,"",VLOOKUP(J169,$AJ$1:$AK$18,2,1)),""),IFERROR(IF(J169 = "FALSE","",VLOOKUP(J169,#REF!,2,TRUE)),"")))</f>
        <v/>
      </c>
      <c r="L169" s="42" t="n"/>
      <c r="M169" s="42" t="n"/>
      <c r="N169" s="42" t="n"/>
      <c r="O169" s="46">
        <f>IF(C169="","",IF(R169=1,"Yes","No"))</f>
        <v/>
      </c>
      <c r="P169" s="57">
        <f>IFERROR(IF(C169="","",IF(AND(Census!C169="E",Census!J169&gt;=18,Census!J169&lt;=65),"Yes","No")),"ERROR")</f>
        <v/>
      </c>
      <c r="Q169" s="58">
        <f>IFERROR(IF(C169="","",IF(AND(Census!C169="E",Census!J169&gt;=18,Census!J169&lt;=64),"Yes","No")),"ERROR")</f>
        <v/>
      </c>
      <c r="R169" s="59">
        <f>IF(OR(AB169&lt;&gt;1,AC169&lt;&gt;1,AD169&lt;&gt;1,AF169&lt;&gt;1,AE169&lt;&gt;1,AG169&lt;&gt;1),-1,1)</f>
        <v/>
      </c>
      <c r="S169" s="60">
        <f>AB169</f>
        <v/>
      </c>
      <c r="T169" s="61">
        <f>AC169</f>
        <v/>
      </c>
      <c r="U169" s="61">
        <f>AD169</f>
        <v/>
      </c>
      <c r="V169" s="61">
        <f>AE169</f>
        <v/>
      </c>
      <c r="W169" s="61">
        <f>AF169</f>
        <v/>
      </c>
      <c r="X169" s="62">
        <f>AG169</f>
        <v/>
      </c>
      <c r="Y169" s="10" t="n"/>
      <c r="Z169" s="64" t="inlineStr">
        <is>
          <t>Mexican</t>
        </is>
      </c>
      <c r="AA169" s="10" t="n"/>
      <c r="AB169">
        <f>IFERROR(IF(OR(B169=0,B169=""),0,1),0)</f>
        <v/>
      </c>
      <c r="AC169">
        <f>IFERROR(IF(OR(C169="S",C169="D"),IF(AND(C169="D",D169="F"),1,IF(AND(C169="S",D169="M"),1,0)),IF(OR(C169="W",C169="H"),IF(OR(AND(C169="W",D169="F"),AND(C169="H",D169="M")),1,),IF(OR(D169="M",D169="F"),1,0))),0)</f>
        <v/>
      </c>
      <c r="AD169">
        <f>IFERROR(IF(OR(C169="E",C169="W",C169="H"),1,IF(C169 = "S",IF(D169="M",1,0),IF(D169 = "F",1,0))),0)</f>
        <v/>
      </c>
      <c r="AE169">
        <f>IFERROR(IF(OR(E169="M",E169="S"),IF(E169="M",IF(OR(C169="S",C169 = "D"),0,1),IF(OR(C169="W",C169="H"),0,1)),0),0)</f>
        <v/>
      </c>
      <c r="AF169">
        <f>IF(G169="",-1,IF(AND(G169&lt;=TODAY(),ISNUMBER(DATE(YEAR(G169),MONTH(G169),DAY(G169)))),IF(AND(OR(C169="S",C169="D"),J169&gt;24),-1,1),-1))</f>
        <v/>
      </c>
      <c r="AG169">
        <f>IF(OR(I169="CAT 1",I169="CAT 2",I169="CAT 3",I169="CAT 4"),1,0)</f>
        <v/>
      </c>
      <c r="AH169">
        <f>PRODUCT(AF169:AG169)*AE169</f>
        <v/>
      </c>
    </row>
    <row r="170" customFormat="1" s="12">
      <c r="A170" s="37" t="n">
        <v>169</v>
      </c>
      <c r="B170" s="38" t="n"/>
      <c r="C170" s="39" t="n"/>
      <c r="D170" s="40" t="n"/>
      <c r="E170" s="40" t="n"/>
      <c r="F170" s="39" t="n"/>
      <c r="G170" s="2" t="n"/>
      <c r="H170" s="2" t="n"/>
      <c r="I170" s="39" t="n"/>
      <c r="J170" s="50">
        <f>IFERROR(IF(G170="","",ROUNDDOWN(IF($G170="","",(inception_date-$G170)/365.25),0)),0)</f>
        <v/>
      </c>
      <c r="K170" s="37">
        <f>IF(I170="","",IF($AM$3=1,IFERROR(IF(J170=FALSE,"",VLOOKUP(J170,$AJ$1:$AK$18,2,1)),""),IFERROR(IF(J170 = "FALSE","",VLOOKUP(J170,#REF!,2,TRUE)),"")))</f>
        <v/>
      </c>
      <c r="L170" s="37" t="n"/>
      <c r="M170" s="37" t="n"/>
      <c r="N170" s="37" t="n"/>
      <c r="O170" s="41">
        <f>IF(C170="","",IF(R170=1,"Yes","No"))</f>
        <v/>
      </c>
      <c r="P170" s="51">
        <f>IFERROR(IF(C170="","",IF(AND(Census!C170="E",Census!J170&gt;=18,Census!J170&lt;=65),"Yes","No")),"ERROR")</f>
        <v/>
      </c>
      <c r="Q170" s="52">
        <f>IFERROR(IF(C170="","",IF(AND(Census!C170="E",Census!J170&gt;=18,Census!J170&lt;=64),"Yes","No")),"ERROR")</f>
        <v/>
      </c>
      <c r="R170" s="53">
        <f>IF(OR(AB170&lt;&gt;1,AC170&lt;&gt;1,AD170&lt;&gt;1,AF170&lt;&gt;1,AE170&lt;&gt;1,AG170&lt;&gt;1),-1,1)</f>
        <v/>
      </c>
      <c r="S170" s="54">
        <f>AB170</f>
        <v/>
      </c>
      <c r="T170" s="55">
        <f>AC170</f>
        <v/>
      </c>
      <c r="U170" s="55">
        <f>AD170</f>
        <v/>
      </c>
      <c r="V170" s="55">
        <f>AE170</f>
        <v/>
      </c>
      <c r="W170" s="55">
        <f>AF170</f>
        <v/>
      </c>
      <c r="X170" s="56">
        <f>AG170</f>
        <v/>
      </c>
      <c r="Y170" s="10" t="n"/>
      <c r="Z170" s="64" t="inlineStr">
        <is>
          <t>Micronesian</t>
        </is>
      </c>
      <c r="AA170" s="10" t="n"/>
      <c r="AB170">
        <f>IFERROR(IF(OR(B170=0,B170=""),0,1),0)</f>
        <v/>
      </c>
      <c r="AC170">
        <f>IFERROR(IF(OR(C170="S",C170="D"),IF(AND(C170="D",D170="F"),1,IF(AND(C170="S",D170="M"),1,0)),IF(OR(C170="W",C170="H"),IF(OR(AND(C170="W",D170="F"),AND(C170="H",D170="M")),1,),IF(OR(D170="M",D170="F"),1,0))),0)</f>
        <v/>
      </c>
      <c r="AD170">
        <f>IFERROR(IF(OR(C170="E",C170="W",C170="H"),1,IF(C170 = "S",IF(D170="M",1,0),IF(D170 = "F",1,0))),0)</f>
        <v/>
      </c>
      <c r="AE170">
        <f>IFERROR(IF(OR(E170="M",E170="S"),IF(E170="M",IF(OR(C170="S",C170 = "D"),0,1),IF(OR(C170="W",C170="H"),0,1)),0),0)</f>
        <v/>
      </c>
      <c r="AF170">
        <f>IF(G170="",-1,IF(AND(G170&lt;=TODAY(),ISNUMBER(DATE(YEAR(G170),MONTH(G170),DAY(G170)))),IF(AND(OR(C170="S",C170="D"),J170&gt;24),-1,1),-1))</f>
        <v/>
      </c>
      <c r="AG170">
        <f>IF(OR(I170="CAT 1",I170="CAT 2",I170="CAT 3",I170="CAT 4"),1,0)</f>
        <v/>
      </c>
      <c r="AH170">
        <f>PRODUCT(AF170:AG170)*AE170</f>
        <v/>
      </c>
    </row>
    <row r="171" customFormat="1" s="12">
      <c r="A171" s="42" t="n">
        <v>170</v>
      </c>
      <c r="B171" s="43" t="n"/>
      <c r="C171" s="44" t="n"/>
      <c r="D171" s="45" t="n"/>
      <c r="E171" s="45" t="n"/>
      <c r="F171" s="39" t="n"/>
      <c r="G171" s="3" t="n"/>
      <c r="H171" s="3" t="n"/>
      <c r="I171" s="44" t="n"/>
      <c r="J171" s="42">
        <f>IFERROR(IF(G171="","",ROUNDDOWN(IF($G171="","",(inception_date-$G171)/365.25),0)),0)</f>
        <v/>
      </c>
      <c r="K171" s="42">
        <f>IF(I171="","",IF($AM$3=1,IFERROR(IF(J171=FALSE,"",VLOOKUP(J171,$AJ$1:$AK$18,2,1)),""),IFERROR(IF(J171 = "FALSE","",VLOOKUP(J171,#REF!,2,TRUE)),"")))</f>
        <v/>
      </c>
      <c r="L171" s="42" t="n"/>
      <c r="M171" s="42" t="n"/>
      <c r="N171" s="42" t="n"/>
      <c r="O171" s="46">
        <f>IF(C171="","",IF(R171=1,"Yes","No"))</f>
        <v/>
      </c>
      <c r="P171" s="57">
        <f>IFERROR(IF(C171="","",IF(AND(Census!C171="E",Census!J171&gt;=18,Census!J171&lt;=65),"Yes","No")),"ERROR")</f>
        <v/>
      </c>
      <c r="Q171" s="58">
        <f>IFERROR(IF(C171="","",IF(AND(Census!C171="E",Census!J171&gt;=18,Census!J171&lt;=64),"Yes","No")),"ERROR")</f>
        <v/>
      </c>
      <c r="R171" s="59">
        <f>IF(OR(AB171&lt;&gt;1,AC171&lt;&gt;1,AD171&lt;&gt;1,AF171&lt;&gt;1,AE171&lt;&gt;1,AG171&lt;&gt;1),-1,1)</f>
        <v/>
      </c>
      <c r="S171" s="60">
        <f>AB171</f>
        <v/>
      </c>
      <c r="T171" s="61">
        <f>AC171</f>
        <v/>
      </c>
      <c r="U171" s="61">
        <f>AD171</f>
        <v/>
      </c>
      <c r="V171" s="61">
        <f>AE171</f>
        <v/>
      </c>
      <c r="W171" s="61">
        <f>AF171</f>
        <v/>
      </c>
      <c r="X171" s="62">
        <f>AG171</f>
        <v/>
      </c>
      <c r="Y171" s="10" t="n"/>
      <c r="Z171" s="64" t="inlineStr">
        <is>
          <t>Moldovan</t>
        </is>
      </c>
      <c r="AA171" s="10" t="n"/>
      <c r="AB171">
        <f>IFERROR(IF(OR(B171=0,B171=""),0,1),0)</f>
        <v/>
      </c>
      <c r="AC171">
        <f>IFERROR(IF(OR(C171="S",C171="D"),IF(AND(C171="D",D171="F"),1,IF(AND(C171="S",D171="M"),1,0)),IF(OR(C171="W",C171="H"),IF(OR(AND(C171="W",D171="F"),AND(C171="H",D171="M")),1,),IF(OR(D171="M",D171="F"),1,0))),0)</f>
        <v/>
      </c>
      <c r="AD171">
        <f>IFERROR(IF(OR(C171="E",C171="W",C171="H"),1,IF(C171 = "S",IF(D171="M",1,0),IF(D171 = "F",1,0))),0)</f>
        <v/>
      </c>
      <c r="AE171">
        <f>IFERROR(IF(OR(E171="M",E171="S"),IF(E171="M",IF(OR(C171="S",C171 = "D"),0,1),IF(OR(C171="W",C171="H"),0,1)),0),0)</f>
        <v/>
      </c>
      <c r="AF171">
        <f>IF(G171="",-1,IF(AND(G171&lt;=TODAY(),ISNUMBER(DATE(YEAR(G171),MONTH(G171),DAY(G171)))),IF(AND(OR(C171="S",C171="D"),J171&gt;24),-1,1),-1))</f>
        <v/>
      </c>
      <c r="AG171">
        <f>IF(OR(I171="CAT 1",I171="CAT 2",I171="CAT 3",I171="CAT 4"),1,0)</f>
        <v/>
      </c>
      <c r="AH171">
        <f>PRODUCT(AF171:AG171)*AE171</f>
        <v/>
      </c>
    </row>
    <row r="172" customFormat="1" s="12">
      <c r="A172" s="37" t="n">
        <v>171</v>
      </c>
      <c r="B172" s="38" t="n"/>
      <c r="C172" s="39" t="n"/>
      <c r="D172" s="40" t="n"/>
      <c r="E172" s="40" t="n"/>
      <c r="F172" s="39" t="n"/>
      <c r="G172" s="2" t="n"/>
      <c r="H172" s="2" t="n"/>
      <c r="I172" s="39" t="n"/>
      <c r="J172" s="50">
        <f>IFERROR(IF(G172="","",ROUNDDOWN(IF($G172="","",(inception_date-$G172)/365.25),0)),0)</f>
        <v/>
      </c>
      <c r="K172" s="37">
        <f>IF(I172="","",IF($AM$3=1,IFERROR(IF(J172=FALSE,"",VLOOKUP(J172,$AJ$1:$AK$18,2,1)),""),IFERROR(IF(J172 = "FALSE","",VLOOKUP(J172,#REF!,2,TRUE)),"")))</f>
        <v/>
      </c>
      <c r="L172" s="37" t="n"/>
      <c r="M172" s="37" t="n"/>
      <c r="N172" s="37" t="n"/>
      <c r="O172" s="41">
        <f>IF(C172="","",IF(R172=1,"Yes","No"))</f>
        <v/>
      </c>
      <c r="P172" s="51">
        <f>IFERROR(IF(C172="","",IF(AND(Census!C172="E",Census!J172&gt;=18,Census!J172&lt;=65),"Yes","No")),"ERROR")</f>
        <v/>
      </c>
      <c r="Q172" s="52">
        <f>IFERROR(IF(C172="","",IF(AND(Census!C172="E",Census!J172&gt;=18,Census!J172&lt;=64),"Yes","No")),"ERROR")</f>
        <v/>
      </c>
      <c r="R172" s="53">
        <f>IF(OR(AB172&lt;&gt;1,AC172&lt;&gt;1,AD172&lt;&gt;1,AF172&lt;&gt;1,AE172&lt;&gt;1,AG172&lt;&gt;1),-1,1)</f>
        <v/>
      </c>
      <c r="S172" s="54">
        <f>AB172</f>
        <v/>
      </c>
      <c r="T172" s="55">
        <f>AC172</f>
        <v/>
      </c>
      <c r="U172" s="55">
        <f>AD172</f>
        <v/>
      </c>
      <c r="V172" s="55">
        <f>AE172</f>
        <v/>
      </c>
      <c r="W172" s="55">
        <f>AF172</f>
        <v/>
      </c>
      <c r="X172" s="56">
        <f>AG172</f>
        <v/>
      </c>
      <c r="Y172" s="10" t="n"/>
      <c r="Z172" s="64" t="inlineStr">
        <is>
          <t>Monegasque</t>
        </is>
      </c>
      <c r="AA172" s="10" t="n"/>
      <c r="AB172">
        <f>IFERROR(IF(OR(B172=0,B172=""),0,1),0)</f>
        <v/>
      </c>
      <c r="AC172">
        <f>IFERROR(IF(OR(C172="S",C172="D"),IF(AND(C172="D",D172="F"),1,IF(AND(C172="S",D172="M"),1,0)),IF(OR(C172="W",C172="H"),IF(OR(AND(C172="W",D172="F"),AND(C172="H",D172="M")),1,),IF(OR(D172="M",D172="F"),1,0))),0)</f>
        <v/>
      </c>
      <c r="AD172">
        <f>IFERROR(IF(OR(C172="E",C172="W",C172="H"),1,IF(C172 = "S",IF(D172="M",1,0),IF(D172 = "F",1,0))),0)</f>
        <v/>
      </c>
      <c r="AE172">
        <f>IFERROR(IF(OR(E172="M",E172="S"),IF(E172="M",IF(OR(C172="S",C172 = "D"),0,1),IF(OR(C172="W",C172="H"),0,1)),0),0)</f>
        <v/>
      </c>
      <c r="AF172">
        <f>IF(G172="",-1,IF(AND(G172&lt;=TODAY(),ISNUMBER(DATE(YEAR(G172),MONTH(G172),DAY(G172)))),IF(AND(OR(C172="S",C172="D"),J172&gt;24),-1,1),-1))</f>
        <v/>
      </c>
      <c r="AG172">
        <f>IF(OR(I172="CAT 1",I172="CAT 2",I172="CAT 3",I172="CAT 4"),1,0)</f>
        <v/>
      </c>
      <c r="AH172">
        <f>PRODUCT(AF172:AG172)*AE172</f>
        <v/>
      </c>
    </row>
    <row r="173" customFormat="1" s="12">
      <c r="A173" s="42" t="n">
        <v>172</v>
      </c>
      <c r="B173" s="43" t="n"/>
      <c r="C173" s="44" t="n"/>
      <c r="D173" s="45" t="n"/>
      <c r="E173" s="45" t="n"/>
      <c r="F173" s="39" t="n"/>
      <c r="G173" s="3" t="n"/>
      <c r="H173" s="3" t="n"/>
      <c r="I173" s="44" t="n"/>
      <c r="J173" s="42">
        <f>IFERROR(IF(G173="","",ROUNDDOWN(IF($G173="","",(inception_date-$G173)/365.25),0)),0)</f>
        <v/>
      </c>
      <c r="K173" s="42">
        <f>IF(I173="","",IF($AM$3=1,IFERROR(IF(J173=FALSE,"",VLOOKUP(J173,$AJ$1:$AK$18,2,1)),""),IFERROR(IF(J173 = "FALSE","",VLOOKUP(J173,#REF!,2,TRUE)),"")))</f>
        <v/>
      </c>
      <c r="L173" s="42" t="n"/>
      <c r="M173" s="42" t="n"/>
      <c r="N173" s="42" t="n"/>
      <c r="O173" s="46">
        <f>IF(C173="","",IF(R173=1,"Yes","No"))</f>
        <v/>
      </c>
      <c r="P173" s="57">
        <f>IFERROR(IF(C173="","",IF(AND(Census!C173="E",Census!J173&gt;=18,Census!J173&lt;=65),"Yes","No")),"ERROR")</f>
        <v/>
      </c>
      <c r="Q173" s="58">
        <f>IFERROR(IF(C173="","",IF(AND(Census!C173="E",Census!J173&gt;=18,Census!J173&lt;=64),"Yes","No")),"ERROR")</f>
        <v/>
      </c>
      <c r="R173" s="59">
        <f>IF(OR(AB173&lt;&gt;1,AC173&lt;&gt;1,AD173&lt;&gt;1,AF173&lt;&gt;1,AE173&lt;&gt;1,AG173&lt;&gt;1),-1,1)</f>
        <v/>
      </c>
      <c r="S173" s="60">
        <f>AB173</f>
        <v/>
      </c>
      <c r="T173" s="61">
        <f>AC173</f>
        <v/>
      </c>
      <c r="U173" s="61">
        <f>AD173</f>
        <v/>
      </c>
      <c r="V173" s="61">
        <f>AE173</f>
        <v/>
      </c>
      <c r="W173" s="61">
        <f>AF173</f>
        <v/>
      </c>
      <c r="X173" s="62">
        <f>AG173</f>
        <v/>
      </c>
      <c r="Y173" s="10" t="n"/>
      <c r="Z173" s="64" t="inlineStr">
        <is>
          <t>Mongolian</t>
        </is>
      </c>
      <c r="AA173" s="10" t="n"/>
      <c r="AB173">
        <f>IFERROR(IF(OR(B173=0,B173=""),0,1),0)</f>
        <v/>
      </c>
      <c r="AC173">
        <f>IFERROR(IF(OR(C173="S",C173="D"),IF(AND(C173="D",D173="F"),1,IF(AND(C173="S",D173="M"),1,0)),IF(OR(C173="W",C173="H"),IF(OR(AND(C173="W",D173="F"),AND(C173="H",D173="M")),1,),IF(OR(D173="M",D173="F"),1,0))),0)</f>
        <v/>
      </c>
      <c r="AD173">
        <f>IFERROR(IF(OR(C173="E",C173="W",C173="H"),1,IF(C173 = "S",IF(D173="M",1,0),IF(D173 = "F",1,0))),0)</f>
        <v/>
      </c>
      <c r="AE173">
        <f>IFERROR(IF(OR(E173="M",E173="S"),IF(E173="M",IF(OR(C173="S",C173 = "D"),0,1),IF(OR(C173="W",C173="H"),0,1)),0),0)</f>
        <v/>
      </c>
      <c r="AF173">
        <f>IF(G173="",-1,IF(AND(G173&lt;=TODAY(),ISNUMBER(DATE(YEAR(G173),MONTH(G173),DAY(G173)))),IF(AND(OR(C173="S",C173="D"),J173&gt;24),-1,1),-1))</f>
        <v/>
      </c>
      <c r="AG173">
        <f>IF(OR(I173="CAT 1",I173="CAT 2",I173="CAT 3",I173="CAT 4"),1,0)</f>
        <v/>
      </c>
      <c r="AH173">
        <f>PRODUCT(AF173:AG173)*AE173</f>
        <v/>
      </c>
    </row>
    <row r="174" customFormat="1" s="12">
      <c r="A174" s="37" t="n">
        <v>173</v>
      </c>
      <c r="B174" s="38" t="n"/>
      <c r="C174" s="39" t="n"/>
      <c r="D174" s="40" t="n"/>
      <c r="E174" s="40" t="n"/>
      <c r="F174" s="39" t="n"/>
      <c r="G174" s="2" t="n"/>
      <c r="H174" s="2" t="n"/>
      <c r="I174" s="39" t="n"/>
      <c r="J174" s="50">
        <f>IFERROR(IF(G174="","",ROUNDDOWN(IF($G174="","",(inception_date-$G174)/365.25),0)),0)</f>
        <v/>
      </c>
      <c r="K174" s="37">
        <f>IF(I174="","",IF($AM$3=1,IFERROR(IF(J174=FALSE,"",VLOOKUP(J174,$AJ$1:$AK$18,2,1)),""),IFERROR(IF(J174 = "FALSE","",VLOOKUP(J174,#REF!,2,TRUE)),"")))</f>
        <v/>
      </c>
      <c r="L174" s="37" t="n"/>
      <c r="M174" s="37" t="n"/>
      <c r="N174" s="37" t="n"/>
      <c r="O174" s="41">
        <f>IF(C174="","",IF(R174=1,"Yes","No"))</f>
        <v/>
      </c>
      <c r="P174" s="51">
        <f>IFERROR(IF(C174="","",IF(AND(Census!C174="E",Census!J174&gt;=18,Census!J174&lt;=65),"Yes","No")),"ERROR")</f>
        <v/>
      </c>
      <c r="Q174" s="52">
        <f>IFERROR(IF(C174="","",IF(AND(Census!C174="E",Census!J174&gt;=18,Census!J174&lt;=64),"Yes","No")),"ERROR")</f>
        <v/>
      </c>
      <c r="R174" s="53">
        <f>IF(OR(AB174&lt;&gt;1,AC174&lt;&gt;1,AD174&lt;&gt;1,AF174&lt;&gt;1,AE174&lt;&gt;1,AG174&lt;&gt;1),-1,1)</f>
        <v/>
      </c>
      <c r="S174" s="54">
        <f>AB174</f>
        <v/>
      </c>
      <c r="T174" s="55">
        <f>AC174</f>
        <v/>
      </c>
      <c r="U174" s="55">
        <f>AD174</f>
        <v/>
      </c>
      <c r="V174" s="55">
        <f>AE174</f>
        <v/>
      </c>
      <c r="W174" s="55">
        <f>AF174</f>
        <v/>
      </c>
      <c r="X174" s="56">
        <f>AG174</f>
        <v/>
      </c>
      <c r="Y174" s="10" t="n"/>
      <c r="Z174" s="64" t="inlineStr">
        <is>
          <t>Montenegrin</t>
        </is>
      </c>
      <c r="AA174" s="10" t="n"/>
      <c r="AB174">
        <f>IFERROR(IF(OR(B174=0,B174=""),0,1),0)</f>
        <v/>
      </c>
      <c r="AC174">
        <f>IFERROR(IF(OR(C174="S",C174="D"),IF(AND(C174="D",D174="F"),1,IF(AND(C174="S",D174="M"),1,0)),IF(OR(C174="W",C174="H"),IF(OR(AND(C174="W",D174="F"),AND(C174="H",D174="M")),1,),IF(OR(D174="M",D174="F"),1,0))),0)</f>
        <v/>
      </c>
      <c r="AD174">
        <f>IFERROR(IF(OR(C174="E",C174="W",C174="H"),1,IF(C174 = "S",IF(D174="M",1,0),IF(D174 = "F",1,0))),0)</f>
        <v/>
      </c>
      <c r="AE174">
        <f>IFERROR(IF(OR(E174="M",E174="S"),IF(E174="M",IF(OR(C174="S",C174 = "D"),0,1),IF(OR(C174="W",C174="H"),0,1)),0),0)</f>
        <v/>
      </c>
      <c r="AF174">
        <f>IF(G174="",-1,IF(AND(G174&lt;=TODAY(),ISNUMBER(DATE(YEAR(G174),MONTH(G174),DAY(G174)))),IF(AND(OR(C174="S",C174="D"),J174&gt;24),-1,1),-1))</f>
        <v/>
      </c>
      <c r="AG174">
        <f>IF(OR(I174="CAT 1",I174="CAT 2",I174="CAT 3",I174="CAT 4"),1,0)</f>
        <v/>
      </c>
      <c r="AH174">
        <f>PRODUCT(AF174:AG174)*AE174</f>
        <v/>
      </c>
    </row>
    <row r="175" customFormat="1" s="12">
      <c r="A175" s="42" t="n">
        <v>174</v>
      </c>
      <c r="B175" s="43" t="n"/>
      <c r="C175" s="44" t="n"/>
      <c r="D175" s="45" t="n"/>
      <c r="E175" s="45" t="n"/>
      <c r="F175" s="39" t="n"/>
      <c r="G175" s="3" t="n"/>
      <c r="H175" s="3" t="n"/>
      <c r="I175" s="44" t="n"/>
      <c r="J175" s="42">
        <f>IFERROR(IF(G175="","",ROUNDDOWN(IF($G175="","",(inception_date-$G175)/365.25),0)),0)</f>
        <v/>
      </c>
      <c r="K175" s="42">
        <f>IF(I175="","",IF($AM$3=1,IFERROR(IF(J175=FALSE,"",VLOOKUP(J175,$AJ$1:$AK$18,2,1)),""),IFERROR(IF(J175 = "FALSE","",VLOOKUP(J175,#REF!,2,TRUE)),"")))</f>
        <v/>
      </c>
      <c r="L175" s="42" t="n"/>
      <c r="M175" s="42" t="n"/>
      <c r="N175" s="42" t="n"/>
      <c r="O175" s="46">
        <f>IF(C175="","",IF(R175=1,"Yes","No"))</f>
        <v/>
      </c>
      <c r="P175" s="57">
        <f>IFERROR(IF(C175="","",IF(AND(Census!C175="E",Census!J175&gt;=18,Census!J175&lt;=65),"Yes","No")),"ERROR")</f>
        <v/>
      </c>
      <c r="Q175" s="58">
        <f>IFERROR(IF(C175="","",IF(AND(Census!C175="E",Census!J175&gt;=18,Census!J175&lt;=64),"Yes","No")),"ERROR")</f>
        <v/>
      </c>
      <c r="R175" s="59">
        <f>IF(OR(AB175&lt;&gt;1,AC175&lt;&gt;1,AD175&lt;&gt;1,AF175&lt;&gt;1,AE175&lt;&gt;1,AG175&lt;&gt;1),-1,1)</f>
        <v/>
      </c>
      <c r="S175" s="60">
        <f>AB175</f>
        <v/>
      </c>
      <c r="T175" s="61">
        <f>AC175</f>
        <v/>
      </c>
      <c r="U175" s="61">
        <f>AD175</f>
        <v/>
      </c>
      <c r="V175" s="61">
        <f>AE175</f>
        <v/>
      </c>
      <c r="W175" s="61">
        <f>AF175</f>
        <v/>
      </c>
      <c r="X175" s="62">
        <f>AG175</f>
        <v/>
      </c>
      <c r="Y175" s="10" t="n"/>
      <c r="Z175" s="64" t="inlineStr">
        <is>
          <t>Montserrat</t>
        </is>
      </c>
      <c r="AA175" s="10" t="n"/>
      <c r="AB175">
        <f>IFERROR(IF(OR(B175=0,B175=""),0,1),0)</f>
        <v/>
      </c>
      <c r="AC175">
        <f>IFERROR(IF(OR(C175="S",C175="D"),IF(AND(C175="D",D175="F"),1,IF(AND(C175="S",D175="M"),1,0)),IF(OR(C175="W",C175="H"),IF(OR(AND(C175="W",D175="F"),AND(C175="H",D175="M")),1,),IF(OR(D175="M",D175="F"),1,0))),0)</f>
        <v/>
      </c>
      <c r="AD175">
        <f>IFERROR(IF(OR(C175="E",C175="W",C175="H"),1,IF(C175 = "S",IF(D175="M",1,0),IF(D175 = "F",1,0))),0)</f>
        <v/>
      </c>
      <c r="AE175">
        <f>IFERROR(IF(OR(E175="M",E175="S"),IF(E175="M",IF(OR(C175="S",C175 = "D"),0,1),IF(OR(C175="W",C175="H"),0,1)),0),0)</f>
        <v/>
      </c>
      <c r="AF175">
        <f>IF(G175="",-1,IF(AND(G175&lt;=TODAY(),ISNUMBER(DATE(YEAR(G175),MONTH(G175),DAY(G175)))),IF(AND(OR(C175="S",C175="D"),J175&gt;24),-1,1),-1))</f>
        <v/>
      </c>
      <c r="AG175">
        <f>IF(OR(I175="CAT 1",I175="CAT 2",I175="CAT 3",I175="CAT 4"),1,0)</f>
        <v/>
      </c>
      <c r="AH175">
        <f>PRODUCT(AF175:AG175)*AE175</f>
        <v/>
      </c>
    </row>
    <row r="176" customFormat="1" s="12">
      <c r="A176" s="37" t="n">
        <v>175</v>
      </c>
      <c r="B176" s="38" t="n"/>
      <c r="C176" s="39" t="n"/>
      <c r="D176" s="40" t="n"/>
      <c r="E176" s="40" t="n"/>
      <c r="F176" s="39" t="n"/>
      <c r="G176" s="2" t="n"/>
      <c r="H176" s="2" t="n"/>
      <c r="I176" s="39" t="n"/>
      <c r="J176" s="50">
        <f>IFERROR(IF(G176="","",ROUNDDOWN(IF($G176="","",(inception_date-$G176)/365.25),0)),0)</f>
        <v/>
      </c>
      <c r="K176" s="37">
        <f>IF(I176="","",IF($AM$3=1,IFERROR(IF(J176=FALSE,"",VLOOKUP(J176,$AJ$1:$AK$18,2,1)),""),IFERROR(IF(J176 = "FALSE","",VLOOKUP(J176,#REF!,2,TRUE)),"")))</f>
        <v/>
      </c>
      <c r="L176" s="37" t="n"/>
      <c r="M176" s="37" t="n"/>
      <c r="N176" s="37" t="n"/>
      <c r="O176" s="41">
        <f>IF(C176="","",IF(R176=1,"Yes","No"))</f>
        <v/>
      </c>
      <c r="P176" s="51">
        <f>IFERROR(IF(C176="","",IF(AND(Census!C176="E",Census!J176&gt;=18,Census!J176&lt;=65),"Yes","No")),"ERROR")</f>
        <v/>
      </c>
      <c r="Q176" s="52">
        <f>IFERROR(IF(C176="","",IF(AND(Census!C176="E",Census!J176&gt;=18,Census!J176&lt;=64),"Yes","No")),"ERROR")</f>
        <v/>
      </c>
      <c r="R176" s="53">
        <f>IF(OR(AB176&lt;&gt;1,AC176&lt;&gt;1,AD176&lt;&gt;1,AF176&lt;&gt;1,AE176&lt;&gt;1,AG176&lt;&gt;1),-1,1)</f>
        <v/>
      </c>
      <c r="S176" s="54">
        <f>AB176</f>
        <v/>
      </c>
      <c r="T176" s="55">
        <f>AC176</f>
        <v/>
      </c>
      <c r="U176" s="55">
        <f>AD176</f>
        <v/>
      </c>
      <c r="V176" s="55">
        <f>AE176</f>
        <v/>
      </c>
      <c r="W176" s="55">
        <f>AF176</f>
        <v/>
      </c>
      <c r="X176" s="56">
        <f>AG176</f>
        <v/>
      </c>
      <c r="Y176" s="10" t="n"/>
      <c r="Z176" s="64" t="inlineStr">
        <is>
          <t>Moroccan</t>
        </is>
      </c>
      <c r="AA176" s="10" t="n"/>
      <c r="AB176">
        <f>IFERROR(IF(OR(B176=0,B176=""),0,1),0)</f>
        <v/>
      </c>
      <c r="AC176">
        <f>IFERROR(IF(OR(C176="S",C176="D"),IF(AND(C176="D",D176="F"),1,IF(AND(C176="S",D176="M"),1,0)),IF(OR(C176="W",C176="H"),IF(OR(AND(C176="W",D176="F"),AND(C176="H",D176="M")),1,),IF(OR(D176="M",D176="F"),1,0))),0)</f>
        <v/>
      </c>
      <c r="AD176">
        <f>IFERROR(IF(OR(C176="E",C176="W",C176="H"),1,IF(C176 = "S",IF(D176="M",1,0),IF(D176 = "F",1,0))),0)</f>
        <v/>
      </c>
      <c r="AE176">
        <f>IFERROR(IF(OR(E176="M",E176="S"),IF(E176="M",IF(OR(C176="S",C176 = "D"),0,1),IF(OR(C176="W",C176="H"),0,1)),0),0)</f>
        <v/>
      </c>
      <c r="AF176">
        <f>IF(G176="",-1,IF(AND(G176&lt;=TODAY(),ISNUMBER(DATE(YEAR(G176),MONTH(G176),DAY(G176)))),IF(AND(OR(C176="S",C176="D"),J176&gt;24),-1,1),-1))</f>
        <v/>
      </c>
      <c r="AG176">
        <f>IF(OR(I176="CAT 1",I176="CAT 2",I176="CAT 3",I176="CAT 4"),1,0)</f>
        <v/>
      </c>
      <c r="AH176">
        <f>PRODUCT(AF176:AG176)*AE176</f>
        <v/>
      </c>
    </row>
    <row r="177" customFormat="1" s="12">
      <c r="A177" s="42" t="n">
        <v>176</v>
      </c>
      <c r="B177" s="43" t="n"/>
      <c r="C177" s="44" t="n"/>
      <c r="D177" s="45" t="n"/>
      <c r="E177" s="45" t="n"/>
      <c r="F177" s="39" t="n"/>
      <c r="G177" s="3" t="n"/>
      <c r="H177" s="3" t="n"/>
      <c r="I177" s="44" t="n"/>
      <c r="J177" s="42">
        <f>IFERROR(IF(G177="","",ROUNDDOWN(IF($G177="","",(inception_date-$G177)/365.25),0)),0)</f>
        <v/>
      </c>
      <c r="K177" s="42">
        <f>IF(I177="","",IF($AM$3=1,IFERROR(IF(J177=FALSE,"",VLOOKUP(J177,$AJ$1:$AK$18,2,1)),""),IFERROR(IF(J177 = "FALSE","",VLOOKUP(J177,#REF!,2,TRUE)),"")))</f>
        <v/>
      </c>
      <c r="L177" s="42" t="n"/>
      <c r="M177" s="42" t="n"/>
      <c r="N177" s="42" t="n"/>
      <c r="O177" s="46">
        <f>IF(C177="","",IF(R177=1,"Yes","No"))</f>
        <v/>
      </c>
      <c r="P177" s="57">
        <f>IFERROR(IF(C177="","",IF(AND(Census!C177="E",Census!J177&gt;=18,Census!J177&lt;=65),"Yes","No")),"ERROR")</f>
        <v/>
      </c>
      <c r="Q177" s="58">
        <f>IFERROR(IF(C177="","",IF(AND(Census!C177="E",Census!J177&gt;=18,Census!J177&lt;=64),"Yes","No")),"ERROR")</f>
        <v/>
      </c>
      <c r="R177" s="59">
        <f>IF(OR(AB177&lt;&gt;1,AC177&lt;&gt;1,AD177&lt;&gt;1,AF177&lt;&gt;1,AE177&lt;&gt;1,AG177&lt;&gt;1),-1,1)</f>
        <v/>
      </c>
      <c r="S177" s="60">
        <f>AB177</f>
        <v/>
      </c>
      <c r="T177" s="61">
        <f>AC177</f>
        <v/>
      </c>
      <c r="U177" s="61">
        <f>AD177</f>
        <v/>
      </c>
      <c r="V177" s="61">
        <f>AE177</f>
        <v/>
      </c>
      <c r="W177" s="61">
        <f>AF177</f>
        <v/>
      </c>
      <c r="X177" s="62">
        <f>AG177</f>
        <v/>
      </c>
      <c r="Y177" s="10" t="n"/>
      <c r="Z177" s="64" t="inlineStr">
        <is>
          <t>Motswana</t>
        </is>
      </c>
      <c r="AA177" s="10" t="n"/>
      <c r="AB177">
        <f>IFERROR(IF(OR(B177=0,B177=""),0,1),0)</f>
        <v/>
      </c>
      <c r="AC177">
        <f>IFERROR(IF(OR(C177="S",C177="D"),IF(AND(C177="D",D177="F"),1,IF(AND(C177="S",D177="M"),1,0)),IF(OR(C177="W",C177="H"),IF(OR(AND(C177="W",D177="F"),AND(C177="H",D177="M")),1,),IF(OR(D177="M",D177="F"),1,0))),0)</f>
        <v/>
      </c>
      <c r="AD177">
        <f>IFERROR(IF(OR(C177="E",C177="W",C177="H"),1,IF(C177 = "S",IF(D177="M",1,0),IF(D177 = "F",1,0))),0)</f>
        <v/>
      </c>
      <c r="AE177">
        <f>IFERROR(IF(OR(E177="M",E177="S"),IF(E177="M",IF(OR(C177="S",C177 = "D"),0,1),IF(OR(C177="W",C177="H"),0,1)),0),0)</f>
        <v/>
      </c>
      <c r="AF177">
        <f>IF(G177="",-1,IF(AND(G177&lt;=TODAY(),ISNUMBER(DATE(YEAR(G177),MONTH(G177),DAY(G177)))),IF(AND(OR(C177="S",C177="D"),J177&gt;24),-1,1),-1))</f>
        <v/>
      </c>
      <c r="AG177">
        <f>IF(OR(I177="CAT 1",I177="CAT 2",I177="CAT 3",I177="CAT 4"),1,0)</f>
        <v/>
      </c>
      <c r="AH177">
        <f>PRODUCT(AF177:AG177)*AE177</f>
        <v/>
      </c>
    </row>
    <row r="178" customFormat="1" s="12">
      <c r="A178" s="37" t="n">
        <v>177</v>
      </c>
      <c r="B178" s="38" t="n"/>
      <c r="C178" s="39" t="n"/>
      <c r="D178" s="40" t="n"/>
      <c r="E178" s="40" t="n"/>
      <c r="F178" s="39" t="n"/>
      <c r="G178" s="2" t="n"/>
      <c r="H178" s="2" t="n"/>
      <c r="I178" s="39" t="n"/>
      <c r="J178" s="50">
        <f>IFERROR(IF(G178="","",ROUNDDOWN(IF($G178="","",(inception_date-$G178)/365.25),0)),0)</f>
        <v/>
      </c>
      <c r="K178" s="37">
        <f>IF(I178="","",IF($AM$3=1,IFERROR(IF(J178=FALSE,"",VLOOKUP(J178,$AJ$1:$AK$18,2,1)),""),IFERROR(IF(J178 = "FALSE","",VLOOKUP(J178,#REF!,2,TRUE)),"")))</f>
        <v/>
      </c>
      <c r="L178" s="37" t="n"/>
      <c r="M178" s="37" t="n"/>
      <c r="N178" s="37" t="n"/>
      <c r="O178" s="41">
        <f>IF(C178="","",IF(R178=1,"Yes","No"))</f>
        <v/>
      </c>
      <c r="P178" s="51">
        <f>IFERROR(IF(C178="","",IF(AND(Census!C178="E",Census!J178&gt;=18,Census!J178&lt;=65),"Yes","No")),"ERROR")</f>
        <v/>
      </c>
      <c r="Q178" s="52">
        <f>IFERROR(IF(C178="","",IF(AND(Census!C178="E",Census!J178&gt;=18,Census!J178&lt;=64),"Yes","No")),"ERROR")</f>
        <v/>
      </c>
      <c r="R178" s="53">
        <f>IF(OR(AB178&lt;&gt;1,AC178&lt;&gt;1,AD178&lt;&gt;1,AF178&lt;&gt;1,AE178&lt;&gt;1,AG178&lt;&gt;1),-1,1)</f>
        <v/>
      </c>
      <c r="S178" s="54">
        <f>AB178</f>
        <v/>
      </c>
      <c r="T178" s="55">
        <f>AC178</f>
        <v/>
      </c>
      <c r="U178" s="55">
        <f>AD178</f>
        <v/>
      </c>
      <c r="V178" s="55">
        <f>AE178</f>
        <v/>
      </c>
      <c r="W178" s="55">
        <f>AF178</f>
        <v/>
      </c>
      <c r="X178" s="56">
        <f>AG178</f>
        <v/>
      </c>
      <c r="Y178" s="10" t="n"/>
      <c r="Z178" s="64" t="inlineStr">
        <is>
          <t>Mozambican</t>
        </is>
      </c>
      <c r="AA178" s="10" t="n"/>
      <c r="AB178">
        <f>IFERROR(IF(OR(B178=0,B178=""),0,1),0)</f>
        <v/>
      </c>
      <c r="AC178">
        <f>IFERROR(IF(OR(C178="S",C178="D"),IF(AND(C178="D",D178="F"),1,IF(AND(C178="S",D178="M"),1,0)),IF(OR(C178="W",C178="H"),IF(OR(AND(C178="W",D178="F"),AND(C178="H",D178="M")),1,),IF(OR(D178="M",D178="F"),1,0))),0)</f>
        <v/>
      </c>
      <c r="AD178">
        <f>IFERROR(IF(OR(C178="E",C178="W",C178="H"),1,IF(C178 = "S",IF(D178="M",1,0),IF(D178 = "F",1,0))),0)</f>
        <v/>
      </c>
      <c r="AE178">
        <f>IFERROR(IF(OR(E178="M",E178="S"),IF(E178="M",IF(OR(C178="S",C178 = "D"),0,1),IF(OR(C178="W",C178="H"),0,1)),0),0)</f>
        <v/>
      </c>
      <c r="AF178">
        <f>IF(G178="",-1,IF(AND(G178&lt;=TODAY(),ISNUMBER(DATE(YEAR(G178),MONTH(G178),DAY(G178)))),IF(AND(OR(C178="S",C178="D"),J178&gt;24),-1,1),-1))</f>
        <v/>
      </c>
      <c r="AG178">
        <f>IF(OR(I178="CAT 1",I178="CAT 2",I178="CAT 3",I178="CAT 4"),1,0)</f>
        <v/>
      </c>
      <c r="AH178">
        <f>PRODUCT(AF178:AG178)*AE178</f>
        <v/>
      </c>
    </row>
    <row r="179" customFormat="1" s="12">
      <c r="A179" s="42" t="n">
        <v>178</v>
      </c>
      <c r="B179" s="43" t="n"/>
      <c r="C179" s="44" t="n"/>
      <c r="D179" s="45" t="n"/>
      <c r="E179" s="45" t="n"/>
      <c r="F179" s="39" t="n"/>
      <c r="G179" s="3" t="n"/>
      <c r="H179" s="3" t="n"/>
      <c r="I179" s="44" t="n"/>
      <c r="J179" s="42">
        <f>IFERROR(IF(G179="","",ROUNDDOWN(IF($G179="","",(inception_date-$G179)/365.25),0)),0)</f>
        <v/>
      </c>
      <c r="K179" s="42">
        <f>IF(I179="","",IF($AM$3=1,IFERROR(IF(J179=FALSE,"",VLOOKUP(J179,$AJ$1:$AK$18,2,1)),""),IFERROR(IF(J179 = "FALSE","",VLOOKUP(J179,#REF!,2,TRUE)),"")))</f>
        <v/>
      </c>
      <c r="L179" s="42" t="n"/>
      <c r="M179" s="42" t="n"/>
      <c r="N179" s="42" t="n"/>
      <c r="O179" s="46">
        <f>IF(C179="","",IF(R179=1,"Yes","No"))</f>
        <v/>
      </c>
      <c r="P179" s="57">
        <f>IFERROR(IF(C179="","",IF(AND(Census!C179="E",Census!J179&gt;=18,Census!J179&lt;=65),"Yes","No")),"ERROR")</f>
        <v/>
      </c>
      <c r="Q179" s="58">
        <f>IFERROR(IF(C179="","",IF(AND(Census!C179="E",Census!J179&gt;=18,Census!J179&lt;=64),"Yes","No")),"ERROR")</f>
        <v/>
      </c>
      <c r="R179" s="59">
        <f>IF(OR(AB179&lt;&gt;1,AC179&lt;&gt;1,AD179&lt;&gt;1,AF179&lt;&gt;1,AE179&lt;&gt;1,AG179&lt;&gt;1),-1,1)</f>
        <v/>
      </c>
      <c r="S179" s="60">
        <f>AB179</f>
        <v/>
      </c>
      <c r="T179" s="61">
        <f>AC179</f>
        <v/>
      </c>
      <c r="U179" s="61">
        <f>AD179</f>
        <v/>
      </c>
      <c r="V179" s="61">
        <f>AE179</f>
        <v/>
      </c>
      <c r="W179" s="61">
        <f>AF179</f>
        <v/>
      </c>
      <c r="X179" s="62">
        <f>AG179</f>
        <v/>
      </c>
      <c r="Y179" s="10" t="n"/>
      <c r="Z179" s="64" t="inlineStr">
        <is>
          <t>Myanmarese</t>
        </is>
      </c>
      <c r="AA179" s="10" t="n"/>
      <c r="AB179">
        <f>IFERROR(IF(OR(B179=0,B179=""),0,1),0)</f>
        <v/>
      </c>
      <c r="AC179">
        <f>IFERROR(IF(OR(C179="S",C179="D"),IF(AND(C179="D",D179="F"),1,IF(AND(C179="S",D179="M"),1,0)),IF(OR(C179="W",C179="H"),IF(OR(AND(C179="W",D179="F"),AND(C179="H",D179="M")),1,),IF(OR(D179="M",D179="F"),1,0))),0)</f>
        <v/>
      </c>
      <c r="AD179">
        <f>IFERROR(IF(OR(C179="E",C179="W",C179="H"),1,IF(C179 = "S",IF(D179="M",1,0),IF(D179 = "F",1,0))),0)</f>
        <v/>
      </c>
      <c r="AE179">
        <f>IFERROR(IF(OR(E179="M",E179="S"),IF(E179="M",IF(OR(C179="S",C179 = "D"),0,1),IF(OR(C179="W",C179="H"),0,1)),0),0)</f>
        <v/>
      </c>
      <c r="AF179">
        <f>IF(G179="",-1,IF(AND(G179&lt;=TODAY(),ISNUMBER(DATE(YEAR(G179),MONTH(G179),DAY(G179)))),IF(AND(OR(C179="S",C179="D"),J179&gt;24),-1,1),-1))</f>
        <v/>
      </c>
      <c r="AG179">
        <f>IF(OR(I179="CAT 1",I179="CAT 2",I179="CAT 3",I179="CAT 4"),1,0)</f>
        <v/>
      </c>
      <c r="AH179">
        <f>PRODUCT(AF179:AG179)*AE179</f>
        <v/>
      </c>
    </row>
    <row r="180" customFormat="1" s="12">
      <c r="A180" s="37" t="n">
        <v>179</v>
      </c>
      <c r="B180" s="38" t="n"/>
      <c r="C180" s="39" t="n"/>
      <c r="D180" s="40" t="n"/>
      <c r="E180" s="40" t="n"/>
      <c r="F180" s="39" t="n"/>
      <c r="G180" s="2" t="n"/>
      <c r="H180" s="2" t="n"/>
      <c r="I180" s="39" t="n"/>
      <c r="J180" s="50">
        <f>IFERROR(IF(G180="","",ROUNDDOWN(IF($G180="","",(inception_date-$G180)/365.25),0)),0)</f>
        <v/>
      </c>
      <c r="K180" s="37">
        <f>IF(I180="","",IF($AM$3=1,IFERROR(IF(J180=FALSE,"",VLOOKUP(J180,$AJ$1:$AK$18,2,1)),""),IFERROR(IF(J180 = "FALSE","",VLOOKUP(J180,#REF!,2,TRUE)),"")))</f>
        <v/>
      </c>
      <c r="L180" s="37" t="n"/>
      <c r="M180" s="37" t="n"/>
      <c r="N180" s="37" t="n"/>
      <c r="O180" s="41">
        <f>IF(C180="","",IF(R180=1,"Yes","No"))</f>
        <v/>
      </c>
      <c r="P180" s="51">
        <f>IFERROR(IF(C180="","",IF(AND(Census!C180="E",Census!J180&gt;=18,Census!J180&lt;=65),"Yes","No")),"ERROR")</f>
        <v/>
      </c>
      <c r="Q180" s="52">
        <f>IFERROR(IF(C180="","",IF(AND(Census!C180="E",Census!J180&gt;=18,Census!J180&lt;=64),"Yes","No")),"ERROR")</f>
        <v/>
      </c>
      <c r="R180" s="53">
        <f>IF(OR(AB180&lt;&gt;1,AC180&lt;&gt;1,AD180&lt;&gt;1,AF180&lt;&gt;1,AE180&lt;&gt;1,AG180&lt;&gt;1),-1,1)</f>
        <v/>
      </c>
      <c r="S180" s="54">
        <f>AB180</f>
        <v/>
      </c>
      <c r="T180" s="55">
        <f>AC180</f>
        <v/>
      </c>
      <c r="U180" s="55">
        <f>AD180</f>
        <v/>
      </c>
      <c r="V180" s="55">
        <f>AE180</f>
        <v/>
      </c>
      <c r="W180" s="55">
        <f>AF180</f>
        <v/>
      </c>
      <c r="X180" s="56">
        <f>AG180</f>
        <v/>
      </c>
      <c r="Y180" s="10" t="n"/>
      <c r="Z180" s="64" t="inlineStr">
        <is>
          <t>Namibian</t>
        </is>
      </c>
      <c r="AA180" s="10" t="n"/>
      <c r="AB180">
        <f>IFERROR(IF(OR(B180=0,B180=""),0,1),0)</f>
        <v/>
      </c>
      <c r="AC180">
        <f>IFERROR(IF(OR(C180="S",C180="D"),IF(AND(C180="D",D180="F"),1,IF(AND(C180="S",D180="M"),1,0)),IF(OR(C180="W",C180="H"),IF(OR(AND(C180="W",D180="F"),AND(C180="H",D180="M")),1,),IF(OR(D180="M",D180="F"),1,0))),0)</f>
        <v/>
      </c>
      <c r="AD180">
        <f>IFERROR(IF(OR(C180="E",C180="W",C180="H"),1,IF(C180 = "S",IF(D180="M",1,0),IF(D180 = "F",1,0))),0)</f>
        <v/>
      </c>
      <c r="AE180">
        <f>IFERROR(IF(OR(E180="M",E180="S"),IF(E180="M",IF(OR(C180="S",C180 = "D"),0,1),IF(OR(C180="W",C180="H"),0,1)),0),0)</f>
        <v/>
      </c>
      <c r="AF180">
        <f>IF(G180="",-1,IF(AND(G180&lt;=TODAY(),ISNUMBER(DATE(YEAR(G180),MONTH(G180),DAY(G180)))),IF(AND(OR(C180="S",C180="D"),J180&gt;24),-1,1),-1))</f>
        <v/>
      </c>
      <c r="AG180">
        <f>IF(OR(I180="CAT 1",I180="CAT 2",I180="CAT 3",I180="CAT 4"),1,0)</f>
        <v/>
      </c>
      <c r="AH180">
        <f>PRODUCT(AF180:AG180)*AE180</f>
        <v/>
      </c>
    </row>
    <row r="181" customFormat="1" s="12">
      <c r="A181" s="42" t="n">
        <v>180</v>
      </c>
      <c r="B181" s="43" t="n"/>
      <c r="C181" s="44" t="n"/>
      <c r="D181" s="45" t="n"/>
      <c r="E181" s="45" t="n"/>
      <c r="F181" s="39" t="n"/>
      <c r="G181" s="3" t="n"/>
      <c r="H181" s="3" t="n"/>
      <c r="I181" s="44" t="n"/>
      <c r="J181" s="42">
        <f>IFERROR(IF(G181="","",ROUNDDOWN(IF($G181="","",(inception_date-$G181)/365.25),0)),0)</f>
        <v/>
      </c>
      <c r="K181" s="42">
        <f>IF(I181="","",IF($AM$3=1,IFERROR(IF(J181=FALSE,"",VLOOKUP(J181,$AJ$1:$AK$18,2,1)),""),IFERROR(IF(J181 = "FALSE","",VLOOKUP(J181,#REF!,2,TRUE)),"")))</f>
        <v/>
      </c>
      <c r="L181" s="42" t="n"/>
      <c r="M181" s="42" t="n"/>
      <c r="N181" s="42" t="n"/>
      <c r="O181" s="46">
        <f>IF(C181="","",IF(R181=1,"Yes","No"))</f>
        <v/>
      </c>
      <c r="P181" s="57">
        <f>IFERROR(IF(C181="","",IF(AND(Census!C181="E",Census!J181&gt;=18,Census!J181&lt;=65),"Yes","No")),"ERROR")</f>
        <v/>
      </c>
      <c r="Q181" s="58">
        <f>IFERROR(IF(C181="","",IF(AND(Census!C181="E",Census!J181&gt;=18,Census!J181&lt;=64),"Yes","No")),"ERROR")</f>
        <v/>
      </c>
      <c r="R181" s="59">
        <f>IF(OR(AB181&lt;&gt;1,AC181&lt;&gt;1,AD181&lt;&gt;1,AF181&lt;&gt;1,AE181&lt;&gt;1,AG181&lt;&gt;1),-1,1)</f>
        <v/>
      </c>
      <c r="S181" s="60">
        <f>AB181</f>
        <v/>
      </c>
      <c r="T181" s="61">
        <f>AC181</f>
        <v/>
      </c>
      <c r="U181" s="61">
        <f>AD181</f>
        <v/>
      </c>
      <c r="V181" s="61">
        <f>AE181</f>
        <v/>
      </c>
      <c r="W181" s="61">
        <f>AF181</f>
        <v/>
      </c>
      <c r="X181" s="62">
        <f>AG181</f>
        <v/>
      </c>
      <c r="Y181" s="10" t="n"/>
      <c r="Z181" s="64" t="inlineStr">
        <is>
          <t>Nauruan</t>
        </is>
      </c>
      <c r="AA181" s="10" t="n"/>
      <c r="AB181">
        <f>IFERROR(IF(OR(B181=0,B181=""),0,1),0)</f>
        <v/>
      </c>
      <c r="AC181">
        <f>IFERROR(IF(OR(C181="S",C181="D"),IF(AND(C181="D",D181="F"),1,IF(AND(C181="S",D181="M"),1,0)),IF(OR(C181="W",C181="H"),IF(OR(AND(C181="W",D181="F"),AND(C181="H",D181="M")),1,),IF(OR(D181="M",D181="F"),1,0))),0)</f>
        <v/>
      </c>
      <c r="AD181">
        <f>IFERROR(IF(OR(C181="E",C181="W",C181="H"),1,IF(C181 = "S",IF(D181="M",1,0),IF(D181 = "F",1,0))),0)</f>
        <v/>
      </c>
      <c r="AE181">
        <f>IFERROR(IF(OR(E181="M",E181="S"),IF(E181="M",IF(OR(C181="S",C181 = "D"),0,1),IF(OR(C181="W",C181="H"),0,1)),0),0)</f>
        <v/>
      </c>
      <c r="AF181">
        <f>IF(G181="",-1,IF(AND(G181&lt;=TODAY(),ISNUMBER(DATE(YEAR(G181),MONTH(G181),DAY(G181)))),IF(AND(OR(C181="S",C181="D"),J181&gt;24),-1,1),-1))</f>
        <v/>
      </c>
      <c r="AG181">
        <f>IF(OR(I181="CAT 1",I181="CAT 2",I181="CAT 3",I181="CAT 4"),1,0)</f>
        <v/>
      </c>
      <c r="AH181">
        <f>PRODUCT(AF181:AG181)*AE181</f>
        <v/>
      </c>
    </row>
    <row r="182" customFormat="1" s="12">
      <c r="A182" s="37" t="n">
        <v>181</v>
      </c>
      <c r="B182" s="38" t="n"/>
      <c r="C182" s="39" t="n"/>
      <c r="D182" s="40" t="n"/>
      <c r="E182" s="40" t="n"/>
      <c r="F182" s="39" t="n"/>
      <c r="G182" s="2" t="n"/>
      <c r="H182" s="2" t="n"/>
      <c r="I182" s="39" t="n"/>
      <c r="J182" s="50">
        <f>IFERROR(IF(G182="","",ROUNDDOWN(IF($G182="","",(inception_date-$G182)/365.25),0)),0)</f>
        <v/>
      </c>
      <c r="K182" s="37">
        <f>IF(I182="","",IF($AM$3=1,IFERROR(IF(J182=FALSE,"",VLOOKUP(J182,$AJ$1:$AK$18,2,1)),""),IFERROR(IF(J182 = "FALSE","",VLOOKUP(J182,#REF!,2,TRUE)),"")))</f>
        <v/>
      </c>
      <c r="L182" s="37" t="n"/>
      <c r="M182" s="37" t="n"/>
      <c r="N182" s="37" t="n"/>
      <c r="O182" s="41">
        <f>IF(C182="","",IF(R182=1,"Yes","No"))</f>
        <v/>
      </c>
      <c r="P182" s="51">
        <f>IFERROR(IF(C182="","",IF(AND(Census!C182="E",Census!J182&gt;=18,Census!J182&lt;=65),"Yes","No")),"ERROR")</f>
        <v/>
      </c>
      <c r="Q182" s="52">
        <f>IFERROR(IF(C182="","",IF(AND(Census!C182="E",Census!J182&gt;=18,Census!J182&lt;=64),"Yes","No")),"ERROR")</f>
        <v/>
      </c>
      <c r="R182" s="53">
        <f>IF(OR(AB182&lt;&gt;1,AC182&lt;&gt;1,AD182&lt;&gt;1,AF182&lt;&gt;1,AE182&lt;&gt;1,AG182&lt;&gt;1),-1,1)</f>
        <v/>
      </c>
      <c r="S182" s="54">
        <f>AB182</f>
        <v/>
      </c>
      <c r="T182" s="55">
        <f>AC182</f>
        <v/>
      </c>
      <c r="U182" s="55">
        <f>AD182</f>
        <v/>
      </c>
      <c r="V182" s="55">
        <f>AE182</f>
        <v/>
      </c>
      <c r="W182" s="55">
        <f>AF182</f>
        <v/>
      </c>
      <c r="X182" s="56">
        <f>AG182</f>
        <v/>
      </c>
      <c r="Y182" s="10" t="n"/>
      <c r="Z182" s="64" t="inlineStr">
        <is>
          <t>Nepalese</t>
        </is>
      </c>
      <c r="AA182" s="10" t="n"/>
      <c r="AB182">
        <f>IFERROR(IF(OR(B182=0,B182=""),0,1),0)</f>
        <v/>
      </c>
      <c r="AC182">
        <f>IFERROR(IF(OR(C182="S",C182="D"),IF(AND(C182="D",D182="F"),1,IF(AND(C182="S",D182="M"),1,0)),IF(OR(C182="W",C182="H"),IF(OR(AND(C182="W",D182="F"),AND(C182="H",D182="M")),1,),IF(OR(D182="M",D182="F"),1,0))),0)</f>
        <v/>
      </c>
      <c r="AD182">
        <f>IFERROR(IF(OR(C182="E",C182="W",C182="H"),1,IF(C182 = "S",IF(D182="M",1,0),IF(D182 = "F",1,0))),0)</f>
        <v/>
      </c>
      <c r="AE182">
        <f>IFERROR(IF(OR(E182="M",E182="S"),IF(E182="M",IF(OR(C182="S",C182 = "D"),0,1),IF(OR(C182="W",C182="H"),0,1)),0),0)</f>
        <v/>
      </c>
      <c r="AF182">
        <f>IF(G182="",-1,IF(AND(G182&lt;=TODAY(),ISNUMBER(DATE(YEAR(G182),MONTH(G182),DAY(G182)))),IF(AND(OR(C182="S",C182="D"),J182&gt;24),-1,1),-1))</f>
        <v/>
      </c>
      <c r="AG182">
        <f>IF(OR(I182="CAT 1",I182="CAT 2",I182="CAT 3",I182="CAT 4"),1,0)</f>
        <v/>
      </c>
      <c r="AH182">
        <f>PRODUCT(AF182:AG182)*AE182</f>
        <v/>
      </c>
    </row>
    <row r="183" customFormat="1" s="12">
      <c r="A183" s="42" t="n">
        <v>182</v>
      </c>
      <c r="B183" s="43" t="n"/>
      <c r="C183" s="44" t="n"/>
      <c r="D183" s="45" t="n"/>
      <c r="E183" s="45" t="n"/>
      <c r="F183" s="39" t="n"/>
      <c r="G183" s="3" t="n"/>
      <c r="H183" s="3" t="n"/>
      <c r="I183" s="44" t="n"/>
      <c r="J183" s="42">
        <f>IFERROR(IF(G183="","",ROUNDDOWN(IF($G183="","",(inception_date-$G183)/365.25),0)),0)</f>
        <v/>
      </c>
      <c r="K183" s="42">
        <f>IF(I183="","",IF($AM$3=1,IFERROR(IF(J183=FALSE,"",VLOOKUP(J183,$AJ$1:$AK$18,2,1)),""),IFERROR(IF(J183 = "FALSE","",VLOOKUP(J183,#REF!,2,TRUE)),"")))</f>
        <v/>
      </c>
      <c r="L183" s="42" t="n"/>
      <c r="M183" s="42" t="n"/>
      <c r="N183" s="42" t="n"/>
      <c r="O183" s="46">
        <f>IF(C183="","",IF(R183=1,"Yes","No"))</f>
        <v/>
      </c>
      <c r="P183" s="57">
        <f>IFERROR(IF(C183="","",IF(AND(Census!C183="E",Census!J183&gt;=18,Census!J183&lt;=65),"Yes","No")),"ERROR")</f>
        <v/>
      </c>
      <c r="Q183" s="58">
        <f>IFERROR(IF(C183="","",IF(AND(Census!C183="E",Census!J183&gt;=18,Census!J183&lt;=64),"Yes","No")),"ERROR")</f>
        <v/>
      </c>
      <c r="R183" s="59">
        <f>IF(OR(AB183&lt;&gt;1,AC183&lt;&gt;1,AD183&lt;&gt;1,AF183&lt;&gt;1,AE183&lt;&gt;1,AG183&lt;&gt;1),-1,1)</f>
        <v/>
      </c>
      <c r="S183" s="60">
        <f>AB183</f>
        <v/>
      </c>
      <c r="T183" s="61">
        <f>AC183</f>
        <v/>
      </c>
      <c r="U183" s="61">
        <f>AD183</f>
        <v/>
      </c>
      <c r="V183" s="61">
        <f>AE183</f>
        <v/>
      </c>
      <c r="W183" s="61">
        <f>AF183</f>
        <v/>
      </c>
      <c r="X183" s="62">
        <f>AG183</f>
        <v/>
      </c>
      <c r="Y183" s="10" t="n"/>
      <c r="Z183" s="64" t="inlineStr">
        <is>
          <t>Netherlands Antilles</t>
        </is>
      </c>
      <c r="AA183" s="10" t="n"/>
      <c r="AB183">
        <f>IFERROR(IF(OR(B183=0,B183=""),0,1),0)</f>
        <v/>
      </c>
      <c r="AC183">
        <f>IFERROR(IF(OR(C183="S",C183="D"),IF(AND(C183="D",D183="F"),1,IF(AND(C183="S",D183="M"),1,0)),IF(OR(C183="W",C183="H"),IF(OR(AND(C183="W",D183="F"),AND(C183="H",D183="M")),1,),IF(OR(D183="M",D183="F"),1,0))),0)</f>
        <v/>
      </c>
      <c r="AD183">
        <f>IFERROR(IF(OR(C183="E",C183="W",C183="H"),1,IF(C183 = "S",IF(D183="M",1,0),IF(D183 = "F",1,0))),0)</f>
        <v/>
      </c>
      <c r="AE183">
        <f>IFERROR(IF(OR(E183="M",E183="S"),IF(E183="M",IF(OR(C183="S",C183 = "D"),0,1),IF(OR(C183="W",C183="H"),0,1)),0),0)</f>
        <v/>
      </c>
      <c r="AF183">
        <f>IF(G183="",-1,IF(AND(G183&lt;=TODAY(),ISNUMBER(DATE(YEAR(G183),MONTH(G183),DAY(G183)))),IF(AND(OR(C183="S",C183="D"),J183&gt;24),-1,1),-1))</f>
        <v/>
      </c>
      <c r="AG183">
        <f>IF(OR(I183="CAT 1",I183="CAT 2",I183="CAT 3",I183="CAT 4"),1,0)</f>
        <v/>
      </c>
      <c r="AH183">
        <f>PRODUCT(AF183:AG183)*AE183</f>
        <v/>
      </c>
    </row>
    <row r="184" customFormat="1" s="12">
      <c r="A184" s="37" t="n">
        <v>183</v>
      </c>
      <c r="B184" s="38" t="n"/>
      <c r="C184" s="39" t="n"/>
      <c r="D184" s="40" t="n"/>
      <c r="E184" s="40" t="n"/>
      <c r="F184" s="39" t="n"/>
      <c r="G184" s="2" t="n"/>
      <c r="H184" s="2" t="n"/>
      <c r="I184" s="39" t="n"/>
      <c r="J184" s="50">
        <f>IFERROR(IF(G184="","",ROUNDDOWN(IF($G184="","",(inception_date-$G184)/365.25),0)),0)</f>
        <v/>
      </c>
      <c r="K184" s="37">
        <f>IF(I184="","",IF($AM$3=1,IFERROR(IF(J184=FALSE,"",VLOOKUP(J184,$AJ$1:$AK$18,2,1)),""),IFERROR(IF(J184 = "FALSE","",VLOOKUP(J184,#REF!,2,TRUE)),"")))</f>
        <v/>
      </c>
      <c r="L184" s="37" t="n"/>
      <c r="M184" s="37" t="n"/>
      <c r="N184" s="37" t="n"/>
      <c r="O184" s="41">
        <f>IF(C184="","",IF(R184=1,"Yes","No"))</f>
        <v/>
      </c>
      <c r="P184" s="51">
        <f>IFERROR(IF(C184="","",IF(AND(Census!C184="E",Census!J184&gt;=18,Census!J184&lt;=65),"Yes","No")),"ERROR")</f>
        <v/>
      </c>
      <c r="Q184" s="52">
        <f>IFERROR(IF(C184="","",IF(AND(Census!C184="E",Census!J184&gt;=18,Census!J184&lt;=64),"Yes","No")),"ERROR")</f>
        <v/>
      </c>
      <c r="R184" s="53">
        <f>IF(OR(AB184&lt;&gt;1,AC184&lt;&gt;1,AD184&lt;&gt;1,AF184&lt;&gt;1,AE184&lt;&gt;1,AG184&lt;&gt;1),-1,1)</f>
        <v/>
      </c>
      <c r="S184" s="54">
        <f>AB184</f>
        <v/>
      </c>
      <c r="T184" s="55">
        <f>AC184</f>
        <v/>
      </c>
      <c r="U184" s="55">
        <f>AD184</f>
        <v/>
      </c>
      <c r="V184" s="55">
        <f>AE184</f>
        <v/>
      </c>
      <c r="W184" s="55">
        <f>AF184</f>
        <v/>
      </c>
      <c r="X184" s="56">
        <f>AG184</f>
        <v/>
      </c>
      <c r="Y184" s="10" t="n"/>
      <c r="Z184" s="64" t="inlineStr">
        <is>
          <t>New Caledonia</t>
        </is>
      </c>
      <c r="AA184" s="10" t="n"/>
      <c r="AB184">
        <f>IFERROR(IF(OR(B184=0,B184=""),0,1),0)</f>
        <v/>
      </c>
      <c r="AC184">
        <f>IFERROR(IF(OR(C184="S",C184="D"),IF(AND(C184="D",D184="F"),1,IF(AND(C184="S",D184="M"),1,0)),IF(OR(C184="W",C184="H"),IF(OR(AND(C184="W",D184="F"),AND(C184="H",D184="M")),1,),IF(OR(D184="M",D184="F"),1,0))),0)</f>
        <v/>
      </c>
      <c r="AD184">
        <f>IFERROR(IF(OR(C184="E",C184="W",C184="H"),1,IF(C184 = "S",IF(D184="M",1,0),IF(D184 = "F",1,0))),0)</f>
        <v/>
      </c>
      <c r="AE184">
        <f>IFERROR(IF(OR(E184="M",E184="S"),IF(E184="M",IF(OR(C184="S",C184 = "D"),0,1),IF(OR(C184="W",C184="H"),0,1)),0),0)</f>
        <v/>
      </c>
      <c r="AF184">
        <f>IF(G184="",-1,IF(AND(G184&lt;=TODAY(),ISNUMBER(DATE(YEAR(G184),MONTH(G184),DAY(G184)))),IF(AND(OR(C184="S",C184="D"),J184&gt;24),-1,1),-1))</f>
        <v/>
      </c>
      <c r="AG184">
        <f>IF(OR(I184="CAT 1",I184="CAT 2",I184="CAT 3",I184="CAT 4"),1,0)</f>
        <v/>
      </c>
      <c r="AH184">
        <f>PRODUCT(AF184:AG184)*AE184</f>
        <v/>
      </c>
    </row>
    <row r="185" customFormat="1" s="12">
      <c r="A185" s="42" t="n">
        <v>184</v>
      </c>
      <c r="B185" s="43" t="n"/>
      <c r="C185" s="44" t="n"/>
      <c r="D185" s="45" t="n"/>
      <c r="E185" s="45" t="n"/>
      <c r="F185" s="39" t="n"/>
      <c r="G185" s="3" t="n"/>
      <c r="H185" s="3" t="n"/>
      <c r="I185" s="44" t="n"/>
      <c r="J185" s="42">
        <f>IFERROR(IF(G185="","",ROUNDDOWN(IF($G185="","",(inception_date-$G185)/365.25),0)),0)</f>
        <v/>
      </c>
      <c r="K185" s="42">
        <f>IF(I185="","",IF($AM$3=1,IFERROR(IF(J185=FALSE,"",VLOOKUP(J185,$AJ$1:$AK$18,2,1)),""),IFERROR(IF(J185 = "FALSE","",VLOOKUP(J185,#REF!,2,TRUE)),"")))</f>
        <v/>
      </c>
      <c r="L185" s="42" t="n"/>
      <c r="M185" s="42" t="n"/>
      <c r="N185" s="42" t="n"/>
      <c r="O185" s="46">
        <f>IF(C185="","",IF(R185=1,"Yes","No"))</f>
        <v/>
      </c>
      <c r="P185" s="57">
        <f>IFERROR(IF(C185="","",IF(AND(Census!C185="E",Census!J185&gt;=18,Census!J185&lt;=65),"Yes","No")),"ERROR")</f>
        <v/>
      </c>
      <c r="Q185" s="58">
        <f>IFERROR(IF(C185="","",IF(AND(Census!C185="E",Census!J185&gt;=18,Census!J185&lt;=64),"Yes","No")),"ERROR")</f>
        <v/>
      </c>
      <c r="R185" s="59">
        <f>IF(OR(AB185&lt;&gt;1,AC185&lt;&gt;1,AD185&lt;&gt;1,AF185&lt;&gt;1,AE185&lt;&gt;1,AG185&lt;&gt;1),-1,1)</f>
        <v/>
      </c>
      <c r="S185" s="60">
        <f>AB185</f>
        <v/>
      </c>
      <c r="T185" s="61">
        <f>AC185</f>
        <v/>
      </c>
      <c r="U185" s="61">
        <f>AD185</f>
        <v/>
      </c>
      <c r="V185" s="61">
        <f>AE185</f>
        <v/>
      </c>
      <c r="W185" s="61">
        <f>AF185</f>
        <v/>
      </c>
      <c r="X185" s="62">
        <f>AG185</f>
        <v/>
      </c>
      <c r="Y185" s="10" t="n"/>
      <c r="Z185" s="64" t="inlineStr">
        <is>
          <t>New Zealand</t>
        </is>
      </c>
      <c r="AA185" s="10" t="n"/>
      <c r="AB185">
        <f>IFERROR(IF(OR(B185=0,B185=""),0,1),0)</f>
        <v/>
      </c>
      <c r="AC185">
        <f>IFERROR(IF(OR(C185="S",C185="D"),IF(AND(C185="D",D185="F"),1,IF(AND(C185="S",D185="M"),1,0)),IF(OR(C185="W",C185="H"),IF(OR(AND(C185="W",D185="F"),AND(C185="H",D185="M")),1,),IF(OR(D185="M",D185="F"),1,0))),0)</f>
        <v/>
      </c>
      <c r="AD185">
        <f>IFERROR(IF(OR(C185="E",C185="W",C185="H"),1,IF(C185 = "S",IF(D185="M",1,0),IF(D185 = "F",1,0))),0)</f>
        <v/>
      </c>
      <c r="AE185">
        <f>IFERROR(IF(OR(E185="M",E185="S"),IF(E185="M",IF(OR(C185="S",C185 = "D"),0,1),IF(OR(C185="W",C185="H"),0,1)),0),0)</f>
        <v/>
      </c>
      <c r="AF185">
        <f>IF(G185="",-1,IF(AND(G185&lt;=TODAY(),ISNUMBER(DATE(YEAR(G185),MONTH(G185),DAY(G185)))),IF(AND(OR(C185="S",C185="D"),J185&gt;24),-1,1),-1))</f>
        <v/>
      </c>
      <c r="AG185">
        <f>IF(OR(I185="CAT 1",I185="CAT 2",I185="CAT 3",I185="CAT 4"),1,0)</f>
        <v/>
      </c>
      <c r="AH185">
        <f>PRODUCT(AF185:AG185)*AE185</f>
        <v/>
      </c>
    </row>
    <row r="186" customFormat="1" s="12">
      <c r="A186" s="37" t="n">
        <v>185</v>
      </c>
      <c r="B186" s="38" t="n"/>
      <c r="C186" s="39" t="n"/>
      <c r="D186" s="40" t="n"/>
      <c r="E186" s="40" t="n"/>
      <c r="F186" s="39" t="n"/>
      <c r="G186" s="2" t="n"/>
      <c r="H186" s="2" t="n"/>
      <c r="I186" s="39" t="n"/>
      <c r="J186" s="50">
        <f>IFERROR(IF(G186="","",ROUNDDOWN(IF($G186="","",(inception_date-$G186)/365.25),0)),0)</f>
        <v/>
      </c>
      <c r="K186" s="37">
        <f>IF(I186="","",IF($AM$3=1,IFERROR(IF(J186=FALSE,"",VLOOKUP(J186,$AJ$1:$AK$18,2,1)),""),IFERROR(IF(J186 = "FALSE","",VLOOKUP(J186,#REF!,2,TRUE)),"")))</f>
        <v/>
      </c>
      <c r="L186" s="37" t="n"/>
      <c r="M186" s="37" t="n"/>
      <c r="N186" s="37" t="n"/>
      <c r="O186" s="41">
        <f>IF(C186="","",IF(R186=1,"Yes","No"))</f>
        <v/>
      </c>
      <c r="P186" s="51">
        <f>IFERROR(IF(C186="","",IF(AND(Census!C186="E",Census!J186&gt;=18,Census!J186&lt;=65),"Yes","No")),"ERROR")</f>
        <v/>
      </c>
      <c r="Q186" s="52">
        <f>IFERROR(IF(C186="","",IF(AND(Census!C186="E",Census!J186&gt;=18,Census!J186&lt;=64),"Yes","No")),"ERROR")</f>
        <v/>
      </c>
      <c r="R186" s="53">
        <f>IF(OR(AB186&lt;&gt;1,AC186&lt;&gt;1,AD186&lt;&gt;1,AF186&lt;&gt;1,AE186&lt;&gt;1,AG186&lt;&gt;1),-1,1)</f>
        <v/>
      </c>
      <c r="S186" s="54">
        <f>AB186</f>
        <v/>
      </c>
      <c r="T186" s="55">
        <f>AC186</f>
        <v/>
      </c>
      <c r="U186" s="55">
        <f>AD186</f>
        <v/>
      </c>
      <c r="V186" s="55">
        <f>AE186</f>
        <v/>
      </c>
      <c r="W186" s="55">
        <f>AF186</f>
        <v/>
      </c>
      <c r="X186" s="56">
        <f>AG186</f>
        <v/>
      </c>
      <c r="Y186" s="10" t="n"/>
      <c r="Z186" s="64" t="inlineStr">
        <is>
          <t>Nicaraguan</t>
        </is>
      </c>
      <c r="AA186" s="10" t="n"/>
      <c r="AB186">
        <f>IFERROR(IF(OR(B186=0,B186=""),0,1),0)</f>
        <v/>
      </c>
      <c r="AC186">
        <f>IFERROR(IF(OR(C186="S",C186="D"),IF(AND(C186="D",D186="F"),1,IF(AND(C186="S",D186="M"),1,0)),IF(OR(C186="W",C186="H"),IF(OR(AND(C186="W",D186="F"),AND(C186="H",D186="M")),1,),IF(OR(D186="M",D186="F"),1,0))),0)</f>
        <v/>
      </c>
      <c r="AD186">
        <f>IFERROR(IF(OR(C186="E",C186="W",C186="H"),1,IF(C186 = "S",IF(D186="M",1,0),IF(D186 = "F",1,0))),0)</f>
        <v/>
      </c>
      <c r="AE186">
        <f>IFERROR(IF(OR(E186="M",E186="S"),IF(E186="M",IF(OR(C186="S",C186 = "D"),0,1),IF(OR(C186="W",C186="H"),0,1)),0),0)</f>
        <v/>
      </c>
      <c r="AF186">
        <f>IF(G186="",-1,IF(AND(G186&lt;=TODAY(),ISNUMBER(DATE(YEAR(G186),MONTH(G186),DAY(G186)))),IF(AND(OR(C186="S",C186="D"),J186&gt;24),-1,1),-1))</f>
        <v/>
      </c>
      <c r="AG186">
        <f>IF(OR(I186="CAT 1",I186="CAT 2",I186="CAT 3",I186="CAT 4"),1,0)</f>
        <v/>
      </c>
      <c r="AH186">
        <f>PRODUCT(AF186:AG186)*AE186</f>
        <v/>
      </c>
    </row>
    <row r="187" customFormat="1" s="12">
      <c r="A187" s="42" t="n">
        <v>186</v>
      </c>
      <c r="B187" s="43" t="n"/>
      <c r="C187" s="44" t="n"/>
      <c r="D187" s="45" t="n"/>
      <c r="E187" s="45" t="n"/>
      <c r="F187" s="39" t="n"/>
      <c r="G187" s="3" t="n"/>
      <c r="H187" s="3" t="n"/>
      <c r="I187" s="44" t="n"/>
      <c r="J187" s="42">
        <f>IFERROR(IF(G187="","",ROUNDDOWN(IF($G187="","",(inception_date-$G187)/365.25),0)),0)</f>
        <v/>
      </c>
      <c r="K187" s="42">
        <f>IF(I187="","",IF($AM$3=1,IFERROR(IF(J187=FALSE,"",VLOOKUP(J187,$AJ$1:$AK$18,2,1)),""),IFERROR(IF(J187 = "FALSE","",VLOOKUP(J187,#REF!,2,TRUE)),"")))</f>
        <v/>
      </c>
      <c r="L187" s="42" t="n"/>
      <c r="M187" s="42" t="n"/>
      <c r="N187" s="42" t="n"/>
      <c r="O187" s="46">
        <f>IF(C187="","",IF(R187=1,"Yes","No"))</f>
        <v/>
      </c>
      <c r="P187" s="57">
        <f>IFERROR(IF(C187="","",IF(AND(Census!C187="E",Census!J187&gt;=18,Census!J187&lt;=65),"Yes","No")),"ERROR")</f>
        <v/>
      </c>
      <c r="Q187" s="58">
        <f>IFERROR(IF(C187="","",IF(AND(Census!C187="E",Census!J187&gt;=18,Census!J187&lt;=64),"Yes","No")),"ERROR")</f>
        <v/>
      </c>
      <c r="R187" s="59">
        <f>IF(OR(AB187&lt;&gt;1,AC187&lt;&gt;1,AD187&lt;&gt;1,AF187&lt;&gt;1,AE187&lt;&gt;1,AG187&lt;&gt;1),-1,1)</f>
        <v/>
      </c>
      <c r="S187" s="60">
        <f>AB187</f>
        <v/>
      </c>
      <c r="T187" s="61">
        <f>AC187</f>
        <v/>
      </c>
      <c r="U187" s="61">
        <f>AD187</f>
        <v/>
      </c>
      <c r="V187" s="61">
        <f>AE187</f>
        <v/>
      </c>
      <c r="W187" s="61">
        <f>AF187</f>
        <v/>
      </c>
      <c r="X187" s="62">
        <f>AG187</f>
        <v/>
      </c>
      <c r="Y187" s="10" t="n"/>
      <c r="Z187" s="64" t="inlineStr">
        <is>
          <t>Nigerian</t>
        </is>
      </c>
      <c r="AA187" s="10" t="n"/>
      <c r="AB187">
        <f>IFERROR(IF(OR(B187=0,B187=""),0,1),0)</f>
        <v/>
      </c>
      <c r="AC187">
        <f>IFERROR(IF(OR(C187="S",C187="D"),IF(AND(C187="D",D187="F"),1,IF(AND(C187="S",D187="M"),1,0)),IF(OR(C187="W",C187="H"),IF(OR(AND(C187="W",D187="F"),AND(C187="H",D187="M")),1,),IF(OR(D187="M",D187="F"),1,0))),0)</f>
        <v/>
      </c>
      <c r="AD187">
        <f>IFERROR(IF(OR(C187="E",C187="W",C187="H"),1,IF(C187 = "S",IF(D187="M",1,0),IF(D187 = "F",1,0))),0)</f>
        <v/>
      </c>
      <c r="AE187">
        <f>IFERROR(IF(OR(E187="M",E187="S"),IF(E187="M",IF(OR(C187="S",C187 = "D"),0,1),IF(OR(C187="W",C187="H"),0,1)),0),0)</f>
        <v/>
      </c>
      <c r="AF187">
        <f>IF(G187="",-1,IF(AND(G187&lt;=TODAY(),ISNUMBER(DATE(YEAR(G187),MONTH(G187),DAY(G187)))),IF(AND(OR(C187="S",C187="D"),J187&gt;24),-1,1),-1))</f>
        <v/>
      </c>
      <c r="AG187">
        <f>IF(OR(I187="CAT 1",I187="CAT 2",I187="CAT 3",I187="CAT 4"),1,0)</f>
        <v/>
      </c>
      <c r="AH187">
        <f>PRODUCT(AF187:AG187)*AE187</f>
        <v/>
      </c>
    </row>
    <row r="188" customFormat="1" s="12">
      <c r="A188" s="37" t="n">
        <v>187</v>
      </c>
      <c r="B188" s="38" t="n"/>
      <c r="C188" s="39" t="n"/>
      <c r="D188" s="40" t="n"/>
      <c r="E188" s="40" t="n"/>
      <c r="F188" s="39" t="n"/>
      <c r="G188" s="2" t="n"/>
      <c r="H188" s="2" t="n"/>
      <c r="I188" s="39" t="n"/>
      <c r="J188" s="50">
        <f>IF(G188="","",ROUNDDOWN(IF($G188="","",(inception_date-$G188)/365.25),0))</f>
        <v/>
      </c>
      <c r="K188" s="37">
        <f>IF(I188="","",IF($AM$3=1,IFERROR(IF(J188=FALSE,"",VLOOKUP(J188,$AJ$1:$AK$18,2,1)),""),IFERROR(IF(J188 = "FALSE","",VLOOKUP(J188,#REF!,2,TRUE)),"")))</f>
        <v/>
      </c>
      <c r="L188" s="37" t="n"/>
      <c r="M188" s="37" t="n"/>
      <c r="N188" s="37" t="n"/>
      <c r="O188" s="41">
        <f>IF(C188="","",IF(R188=1,"Yes","No"))</f>
        <v/>
      </c>
      <c r="P188" s="51">
        <f>IFERROR(IF(C188="","",IF(AND(Census!C188="E",Census!J188&gt;=18,Census!J188&lt;=65),"Yes","No")),"ERROR")</f>
        <v/>
      </c>
      <c r="Q188" s="52">
        <f>IFERROR(IF(C188="","",IF(AND(Census!C188="E",Census!J188&gt;=18,Census!J188&lt;=64),"Yes","No")),"ERROR")</f>
        <v/>
      </c>
      <c r="R188" s="53">
        <f>IF(OR(AB188&lt;&gt;1,AC188&lt;&gt;1,AD188&lt;&gt;1,AF188&lt;&gt;1,AE188&lt;&gt;1,AG188&lt;&gt;1),-1,1)</f>
        <v/>
      </c>
      <c r="S188" s="54">
        <f>AB188</f>
        <v/>
      </c>
      <c r="T188" s="55">
        <f>AC188</f>
        <v/>
      </c>
      <c r="U188" s="55">
        <f>AD188</f>
        <v/>
      </c>
      <c r="V188" s="55">
        <f>AE188</f>
        <v/>
      </c>
      <c r="W188" s="55">
        <f>AF188</f>
        <v/>
      </c>
      <c r="X188" s="56">
        <f>AG188</f>
        <v/>
      </c>
      <c r="Y188" s="10" t="n"/>
      <c r="Z188" s="64" t="inlineStr">
        <is>
          <t>Nigerien</t>
        </is>
      </c>
      <c r="AA188" s="10" t="n"/>
      <c r="AB188">
        <f>IFERROR(IF(OR(B188=0,B188=""),0,1),0)</f>
        <v/>
      </c>
      <c r="AC188">
        <f>IFERROR(IF(OR(C188="S",C188="D"),IF(AND(C188="D",D188="F"),1,IF(AND(C188="S",D188="M"),1,0)),IF(OR(C188="W",C188="H"),IF(OR(AND(C188="W",D188="F"),AND(C188="H",D188="M")),1,),IF(OR(D188="M",D188="F"),1,0))),0)</f>
        <v/>
      </c>
      <c r="AD188">
        <f>IFERROR(IF(OR(C188="E",C188="W",C188="H"),1,IF(C188 = "S",IF(D188="M",1,0),IF(D188 = "F",1,0))),0)</f>
        <v/>
      </c>
      <c r="AE188">
        <f>IFERROR(IF(OR(E188="M",E188="S"),IF(E188="M",IF(OR(C188="S",C188 = "D"),0,1),IF(OR(C188="W",C188="H"),0,1)),0),0)</f>
        <v/>
      </c>
      <c r="AF188">
        <f>IF(G188="",-1,IF(AND(G188&lt;=TODAY(),ISNUMBER(DATE(YEAR(G188),MONTH(G188),DAY(G188)))),IF(AND(OR(C188="S",C188="D"),J188&gt;24),-1,1),-1))</f>
        <v/>
      </c>
      <c r="AG188">
        <f>IF(OR(I188="CAT 1",I188="CAT 2",I188="CAT 3",I188="CAT 4"),1,0)</f>
        <v/>
      </c>
      <c r="AH188">
        <f>PRODUCT(AF188:AG188)*AE188</f>
        <v/>
      </c>
    </row>
    <row r="189" customFormat="1" s="12">
      <c r="A189" s="42" t="n">
        <v>188</v>
      </c>
      <c r="B189" s="43" t="n"/>
      <c r="C189" s="44" t="n"/>
      <c r="D189" s="45" t="n"/>
      <c r="E189" s="45" t="n"/>
      <c r="F189" s="39" t="n"/>
      <c r="G189" s="3" t="n"/>
      <c r="H189" s="3" t="n"/>
      <c r="I189" s="44" t="n"/>
      <c r="J189" s="42">
        <f>IF(G189="","",ROUNDDOWN(IF($G189="","",(inception_date-$G189)/365.25),0))</f>
        <v/>
      </c>
      <c r="K189" s="42">
        <f>IF(I189="","",IF($AM$3=1,IFERROR(IF(J189=FALSE,"",VLOOKUP(J189,$AJ$1:$AK$18,2,1)),""),IFERROR(IF(J189 = "FALSE","",VLOOKUP(J189,#REF!,2,TRUE)),"")))</f>
        <v/>
      </c>
      <c r="L189" s="42" t="n"/>
      <c r="M189" s="42" t="n"/>
      <c r="N189" s="42" t="n"/>
      <c r="O189" s="46">
        <f>IF(C189="","",IF(R189=1,"Yes","No"))</f>
        <v/>
      </c>
      <c r="P189" s="57">
        <f>IFERROR(IF(C189="","",IF(AND(Census!C189="E",Census!J189&gt;=18,Census!J189&lt;=65),"Yes","No")),"ERROR")</f>
        <v/>
      </c>
      <c r="Q189" s="58">
        <f>IFERROR(IF(C189="","",IF(AND(Census!C189="E",Census!J189&gt;=18,Census!J189&lt;=64),"Yes","No")),"ERROR")</f>
        <v/>
      </c>
      <c r="R189" s="59">
        <f>IF(OR(AB189&lt;&gt;1,AC189&lt;&gt;1,AD189&lt;&gt;1,AF189&lt;&gt;1,AE189&lt;&gt;1,AG189&lt;&gt;1),-1,1)</f>
        <v/>
      </c>
      <c r="S189" s="60">
        <f>AB189</f>
        <v/>
      </c>
      <c r="T189" s="61">
        <f>AC189</f>
        <v/>
      </c>
      <c r="U189" s="61">
        <f>AD189</f>
        <v/>
      </c>
      <c r="V189" s="61">
        <f>AE189</f>
        <v/>
      </c>
      <c r="W189" s="61">
        <f>AF189</f>
        <v/>
      </c>
      <c r="X189" s="62">
        <f>AG189</f>
        <v/>
      </c>
      <c r="Y189" s="10" t="n"/>
      <c r="Z189" s="64" t="inlineStr">
        <is>
          <t>Niue</t>
        </is>
      </c>
      <c r="AA189" s="10" t="n"/>
      <c r="AB189">
        <f>IFERROR(IF(OR(B189=0,B189=""),0,1),0)</f>
        <v/>
      </c>
      <c r="AC189">
        <f>IFERROR(IF(OR(C189="S",C189="D"),IF(AND(C189="D",D189="F"),1,IF(AND(C189="S",D189="M"),1,0)),IF(OR(C189="W",C189="H"),IF(OR(AND(C189="W",D189="F"),AND(C189="H",D189="M")),1,),IF(OR(D189="M",D189="F"),1,0))),0)</f>
        <v/>
      </c>
      <c r="AD189">
        <f>IFERROR(IF(OR(C189="E",C189="W",C189="H"),1,IF(C189 = "S",IF(D189="M",1,0),IF(D189 = "F",1,0))),0)</f>
        <v/>
      </c>
      <c r="AE189">
        <f>IFERROR(IF(OR(E189="M",E189="S"),IF(E189="M",IF(OR(C189="S",C189 = "D"),0,1),IF(OR(C189="W",C189="H"),0,1)),0),0)</f>
        <v/>
      </c>
      <c r="AF189">
        <f>IF(G189="",-1,IF(AND(G189&lt;=TODAY(),ISNUMBER(DATE(YEAR(G189),MONTH(G189),DAY(G189)))),IF(AND(OR(C189="S",C189="D"),J189&gt;24),-1,1),-1))</f>
        <v/>
      </c>
      <c r="AG189">
        <f>IF(OR(I189="CAT 1",I189="CAT 2",I189="CAT 3",I189="CAT 4"),1,0)</f>
        <v/>
      </c>
      <c r="AH189">
        <f>PRODUCT(AF189:AG189)*AE189</f>
        <v/>
      </c>
    </row>
    <row r="190" customFormat="1" s="12">
      <c r="A190" s="37" t="n">
        <v>189</v>
      </c>
      <c r="B190" s="38" t="n"/>
      <c r="C190" s="39" t="n"/>
      <c r="D190" s="40" t="n"/>
      <c r="E190" s="40" t="n"/>
      <c r="F190" s="39" t="n"/>
      <c r="G190" s="2" t="n"/>
      <c r="H190" s="2" t="n"/>
      <c r="I190" s="39" t="n"/>
      <c r="J190" s="50">
        <f>IF(G190="","",ROUNDDOWN(IF($G190="","",(inception_date-$G190)/365.25),0))</f>
        <v/>
      </c>
      <c r="K190" s="37">
        <f>IF(I190="","",IF($AM$3=1,IFERROR(IF(J190=FALSE,"",VLOOKUP(J190,$AJ$1:$AK$18,2,1)),""),IFERROR(IF(J190 = "FALSE","",VLOOKUP(J190,#REF!,2,TRUE)),"")))</f>
        <v/>
      </c>
      <c r="L190" s="37" t="n"/>
      <c r="M190" s="37" t="n"/>
      <c r="N190" s="37" t="n"/>
      <c r="O190" s="41">
        <f>IF(C190="","",IF(R190=1,"Yes","No"))</f>
        <v/>
      </c>
      <c r="P190" s="51">
        <f>IFERROR(IF(C190="","",IF(AND(Census!C190="E",Census!J190&gt;=18,Census!J190&lt;=65),"Yes","No")),"ERROR")</f>
        <v/>
      </c>
      <c r="Q190" s="52">
        <f>IFERROR(IF(C190="","",IF(AND(Census!C190="E",Census!J190&gt;=18,Census!J190&lt;=64),"Yes","No")),"ERROR")</f>
        <v/>
      </c>
      <c r="R190" s="53">
        <f>IF(OR(AB190&lt;&gt;1,AC190&lt;&gt;1,AD190&lt;&gt;1,AF190&lt;&gt;1,AE190&lt;&gt;1,AG190&lt;&gt;1),-1,1)</f>
        <v/>
      </c>
      <c r="S190" s="54">
        <f>AB190</f>
        <v/>
      </c>
      <c r="T190" s="55">
        <f>AC190</f>
        <v/>
      </c>
      <c r="U190" s="55">
        <f>AD190</f>
        <v/>
      </c>
      <c r="V190" s="55">
        <f>AE190</f>
        <v/>
      </c>
      <c r="W190" s="55">
        <f>AF190</f>
        <v/>
      </c>
      <c r="X190" s="56">
        <f>AG190</f>
        <v/>
      </c>
      <c r="Y190" s="10" t="n"/>
      <c r="Z190" s="64" t="inlineStr">
        <is>
          <t>Ni-Vanuatu</t>
        </is>
      </c>
      <c r="AA190" s="10" t="n"/>
      <c r="AB190">
        <f>IFERROR(IF(OR(B190=0,B190=""),0,1),0)</f>
        <v/>
      </c>
      <c r="AC190">
        <f>IFERROR(IF(OR(C190="S",C190="D"),IF(AND(C190="D",D190="F"),1,IF(AND(C190="S",D190="M"),1,0)),IF(OR(C190="W",C190="H"),IF(OR(AND(C190="W",D190="F"),AND(C190="H",D190="M")),1,),IF(OR(D190="M",D190="F"),1,0))),0)</f>
        <v/>
      </c>
      <c r="AD190">
        <f>IFERROR(IF(OR(C190="E",C190="W",C190="H"),1,IF(C190 = "S",IF(D190="M",1,0),IF(D190 = "F",1,0))),0)</f>
        <v/>
      </c>
      <c r="AE190">
        <f>IFERROR(IF(OR(E190="M",E190="S"),IF(E190="M",IF(OR(C190="S",C190 = "D"),0,1),IF(OR(C190="W",C190="H"),0,1)),0),0)</f>
        <v/>
      </c>
      <c r="AF190">
        <f>IF(G190="",-1,IF(AND(G190&lt;=TODAY(),ISNUMBER(DATE(YEAR(G190),MONTH(G190),DAY(G190)))),IF(AND(OR(C190="S",C190="D"),J190&gt;24),-1,1),-1))</f>
        <v/>
      </c>
      <c r="AG190">
        <f>IF(OR(I190="CAT 1",I190="CAT 2",I190="CAT 3",I190="CAT 4"),1,0)</f>
        <v/>
      </c>
      <c r="AH190">
        <f>PRODUCT(AF190:AG190)*AE190</f>
        <v/>
      </c>
    </row>
    <row r="191" customFormat="1" s="12">
      <c r="A191" s="42" t="n">
        <v>190</v>
      </c>
      <c r="B191" s="43" t="n"/>
      <c r="C191" s="44" t="n"/>
      <c r="D191" s="45" t="n"/>
      <c r="E191" s="45" t="n"/>
      <c r="F191" s="39" t="n"/>
      <c r="G191" s="3" t="n"/>
      <c r="H191" s="3" t="n"/>
      <c r="I191" s="44" t="n"/>
      <c r="J191" s="42">
        <f>IF(G191="","",ROUNDDOWN(IF($G191="","",(inception_date-$G191)/365.25),0))</f>
        <v/>
      </c>
      <c r="K191" s="42">
        <f>IF(I191="","",IF($AM$3=1,IFERROR(IF(J191=FALSE,"",VLOOKUP(J191,$AJ$1:$AK$18,2,1)),""),IFERROR(IF(J191 = "FALSE","",VLOOKUP(J191,#REF!,2,TRUE)),"")))</f>
        <v/>
      </c>
      <c r="L191" s="42" t="n"/>
      <c r="M191" s="42" t="n"/>
      <c r="N191" s="42" t="n"/>
      <c r="O191" s="46">
        <f>IF(C191="","",IF(R191=1,"Yes","No"))</f>
        <v/>
      </c>
      <c r="P191" s="57">
        <f>IFERROR(IF(C191="","",IF(AND(Census!C191="E",Census!J191&gt;=18,Census!J191&lt;=65),"Yes","No")),"ERROR")</f>
        <v/>
      </c>
      <c r="Q191" s="58">
        <f>IFERROR(IF(C191="","",IF(AND(Census!C191="E",Census!J191&gt;=18,Census!J191&lt;=64),"Yes","No")),"ERROR")</f>
        <v/>
      </c>
      <c r="R191" s="59">
        <f>IF(OR(AB191&lt;&gt;1,AC191&lt;&gt;1,AD191&lt;&gt;1,AF191&lt;&gt;1,AE191&lt;&gt;1,AG191&lt;&gt;1),-1,1)</f>
        <v/>
      </c>
      <c r="S191" s="60">
        <f>AB191</f>
        <v/>
      </c>
      <c r="T191" s="61">
        <f>AC191</f>
        <v/>
      </c>
      <c r="U191" s="61">
        <f>AD191</f>
        <v/>
      </c>
      <c r="V191" s="61">
        <f>AE191</f>
        <v/>
      </c>
      <c r="W191" s="61">
        <f>AF191</f>
        <v/>
      </c>
      <c r="X191" s="62">
        <f>AG191</f>
        <v/>
      </c>
      <c r="Y191" s="10" t="n"/>
      <c r="Z191" s="64" t="inlineStr">
        <is>
          <t>Norfolk Island</t>
        </is>
      </c>
      <c r="AA191" s="10" t="n"/>
      <c r="AB191">
        <f>IFERROR(IF(OR(B191=0,B191=""),0,1),0)</f>
        <v/>
      </c>
      <c r="AC191">
        <f>IFERROR(IF(OR(C191="S",C191="D"),IF(AND(C191="D",D191="F"),1,IF(AND(C191="S",D191="M"),1,0)),IF(OR(C191="W",C191="H"),IF(OR(AND(C191="W",D191="F"),AND(C191="H",D191="M")),1,),IF(OR(D191="M",D191="F"),1,0))),0)</f>
        <v/>
      </c>
      <c r="AD191">
        <f>IFERROR(IF(OR(C191="E",C191="W",C191="H"),1,IF(C191 = "S",IF(D191="M",1,0),IF(D191 = "F",1,0))),0)</f>
        <v/>
      </c>
      <c r="AE191">
        <f>IFERROR(IF(OR(E191="M",E191="S"),IF(E191="M",IF(OR(C191="S",C191 = "D"),0,1),IF(OR(C191="W",C191="H"),0,1)),0),0)</f>
        <v/>
      </c>
      <c r="AF191">
        <f>IF(G191="",-1,IF(AND(G191&lt;=TODAY(),ISNUMBER(DATE(YEAR(G191),MONTH(G191),DAY(G191)))),IF(AND(OR(C191="S",C191="D"),J191&gt;24),-1,1),-1))</f>
        <v/>
      </c>
      <c r="AG191">
        <f>IF(OR(I191="CAT 1",I191="CAT 2",I191="CAT 3",I191="CAT 4"),1,0)</f>
        <v/>
      </c>
      <c r="AH191">
        <f>PRODUCT(AF191:AG191)*AE191</f>
        <v/>
      </c>
    </row>
    <row r="192" customFormat="1" s="12">
      <c r="A192" s="37" t="n">
        <v>191</v>
      </c>
      <c r="B192" s="38" t="n"/>
      <c r="C192" s="39" t="n"/>
      <c r="D192" s="40" t="n"/>
      <c r="E192" s="40" t="n"/>
      <c r="F192" s="39" t="n"/>
      <c r="G192" s="2" t="n"/>
      <c r="H192" s="2" t="n"/>
      <c r="I192" s="39" t="n"/>
      <c r="J192" s="50">
        <f>IF(G192="","",ROUNDDOWN(IF($G192="","",(inception_date-$G192)/365.25),0))</f>
        <v/>
      </c>
      <c r="K192" s="37">
        <f>IF(I192="","",IF($AM$3=1,IFERROR(IF(J192=FALSE,"",VLOOKUP(J192,$AJ$1:$AK$18,2,1)),""),IFERROR(IF(J192 = "FALSE","",VLOOKUP(J192,#REF!,2,TRUE)),"")))</f>
        <v/>
      </c>
      <c r="L192" s="37" t="n"/>
      <c r="M192" s="37" t="n"/>
      <c r="N192" s="37" t="n"/>
      <c r="O192" s="41">
        <f>IF(C192="","",IF(R192=1,"Yes","No"))</f>
        <v/>
      </c>
      <c r="P192" s="51">
        <f>IFERROR(IF(C192="","",IF(AND(Census!C192="E",Census!J192&gt;=18,Census!J192&lt;=65),"Yes","No")),"ERROR")</f>
        <v/>
      </c>
      <c r="Q192" s="52">
        <f>IFERROR(IF(C192="","",IF(AND(Census!C192="E",Census!J192&gt;=18,Census!J192&lt;=64),"Yes","No")),"ERROR")</f>
        <v/>
      </c>
      <c r="R192" s="53">
        <f>IF(OR(AB192&lt;&gt;1,AC192&lt;&gt;1,AD192&lt;&gt;1,AF192&lt;&gt;1,AE192&lt;&gt;1,AG192&lt;&gt;1),-1,1)</f>
        <v/>
      </c>
      <c r="S192" s="54">
        <f>AB192</f>
        <v/>
      </c>
      <c r="T192" s="55">
        <f>AC192</f>
        <v/>
      </c>
      <c r="U192" s="55">
        <f>AD192</f>
        <v/>
      </c>
      <c r="V192" s="55">
        <f>AE192</f>
        <v/>
      </c>
      <c r="W192" s="55">
        <f>AF192</f>
        <v/>
      </c>
      <c r="X192" s="56">
        <f>AG192</f>
        <v/>
      </c>
      <c r="Y192" s="10" t="n"/>
      <c r="Z192" s="64" t="inlineStr">
        <is>
          <t>Northern Mariana Islands</t>
        </is>
      </c>
      <c r="AA192" s="10" t="n"/>
      <c r="AB192">
        <f>IFERROR(IF(OR(B192=0,B192=""),0,1),0)</f>
        <v/>
      </c>
      <c r="AC192">
        <f>IFERROR(IF(OR(C192="S",C192="D"),IF(AND(C192="D",D192="F"),1,IF(AND(C192="S",D192="M"),1,0)),IF(OR(C192="W",C192="H"),IF(OR(AND(C192="W",D192="F"),AND(C192="H",D192="M")),1,),IF(OR(D192="M",D192="F"),1,0))),0)</f>
        <v/>
      </c>
      <c r="AD192">
        <f>IFERROR(IF(OR(C192="E",C192="W",C192="H"),1,IF(C192 = "S",IF(D192="M",1,0),IF(D192 = "F",1,0))),0)</f>
        <v/>
      </c>
      <c r="AE192">
        <f>IFERROR(IF(OR(E192="M",E192="S"),IF(E192="M",IF(OR(C192="S",C192 = "D"),0,1),IF(OR(C192="W",C192="H"),0,1)),0),0)</f>
        <v/>
      </c>
      <c r="AF192">
        <f>IF(G192="",-1,IF(AND(G192&lt;=TODAY(),ISNUMBER(DATE(YEAR(G192),MONTH(G192),DAY(G192)))),IF(AND(OR(C192="S",C192="D"),J192&gt;24),-1,1),-1))</f>
        <v/>
      </c>
      <c r="AG192">
        <f>IF(OR(I192="CAT 1",I192="CAT 2",I192="CAT 3",I192="CAT 4"),1,0)</f>
        <v/>
      </c>
      <c r="AH192">
        <f>PRODUCT(AF192:AG192)*AE192</f>
        <v/>
      </c>
    </row>
    <row r="193" customFormat="1" s="12">
      <c r="A193" s="42" t="n">
        <v>192</v>
      </c>
      <c r="B193" s="43" t="n"/>
      <c r="C193" s="44" t="n"/>
      <c r="D193" s="45" t="n"/>
      <c r="E193" s="45" t="n"/>
      <c r="F193" s="39" t="n"/>
      <c r="G193" s="3" t="n"/>
      <c r="H193" s="3" t="n"/>
      <c r="I193" s="44" t="n"/>
      <c r="J193" s="42">
        <f>IF(G193="","",ROUNDDOWN(IF($G193="","",(inception_date-$G193)/365.25),0))</f>
        <v/>
      </c>
      <c r="K193" s="42">
        <f>IF(I193="","",IF($AM$3=1,IFERROR(IF(J193=FALSE,"",VLOOKUP(J193,$AJ$1:$AK$18,2,1)),""),IFERROR(IF(J193 = "FALSE","",VLOOKUP(J193,#REF!,2,TRUE)),"")))</f>
        <v/>
      </c>
      <c r="L193" s="42" t="n"/>
      <c r="M193" s="42" t="n"/>
      <c r="N193" s="42" t="n"/>
      <c r="O193" s="46">
        <f>IF(C193="","",IF(R193=1,"Yes","No"))</f>
        <v/>
      </c>
      <c r="P193" s="57">
        <f>IFERROR(IF(C193="","",IF(AND(Census!C193="E",Census!J193&gt;=18,Census!J193&lt;=65),"Yes","No")),"ERROR")</f>
        <v/>
      </c>
      <c r="Q193" s="58">
        <f>IFERROR(IF(C193="","",IF(AND(Census!C193="E",Census!J193&gt;=18,Census!J193&lt;=64),"Yes","No")),"ERROR")</f>
        <v/>
      </c>
      <c r="R193" s="59">
        <f>IF(OR(AB193&lt;&gt;1,AC193&lt;&gt;1,AD193&lt;&gt;1,AF193&lt;&gt;1,AE193&lt;&gt;1,AG193&lt;&gt;1),-1,1)</f>
        <v/>
      </c>
      <c r="S193" s="60">
        <f>AB193</f>
        <v/>
      </c>
      <c r="T193" s="61">
        <f>AC193</f>
        <v/>
      </c>
      <c r="U193" s="61">
        <f>AD193</f>
        <v/>
      </c>
      <c r="V193" s="61">
        <f>AE193</f>
        <v/>
      </c>
      <c r="W193" s="61">
        <f>AF193</f>
        <v/>
      </c>
      <c r="X193" s="62">
        <f>AG193</f>
        <v/>
      </c>
      <c r="Y193" s="10" t="n"/>
      <c r="Z193" s="64" t="inlineStr">
        <is>
          <t>Norwegian</t>
        </is>
      </c>
      <c r="AA193" s="10" t="n"/>
      <c r="AB193">
        <f>IFERROR(IF(OR(B193=0,B193=""),0,1),0)</f>
        <v/>
      </c>
      <c r="AC193">
        <f>IFERROR(IF(OR(C193="S",C193="D"),IF(AND(C193="D",D193="F"),1,IF(AND(C193="S",D193="M"),1,0)),IF(OR(C193="W",C193="H"),IF(OR(AND(C193="W",D193="F"),AND(C193="H",D193="M")),1,),IF(OR(D193="M",D193="F"),1,0))),0)</f>
        <v/>
      </c>
      <c r="AD193">
        <f>IFERROR(IF(OR(C193="E",C193="W",C193="H"),1,IF(C193 = "S",IF(D193="M",1,0),IF(D193 = "F",1,0))),0)</f>
        <v/>
      </c>
      <c r="AE193">
        <f>IFERROR(IF(OR(E193="M",E193="S"),IF(E193="M",IF(OR(C193="S",C193 = "D"),0,1),IF(OR(C193="W",C193="H"),0,1)),0),0)</f>
        <v/>
      </c>
      <c r="AF193">
        <f>IF(G193="",-1,IF(AND(G193&lt;=TODAY(),ISNUMBER(DATE(YEAR(G193),MONTH(G193),DAY(G193)))),IF(AND(OR(C193="S",C193="D"),J193&gt;24),-1,1),-1))</f>
        <v/>
      </c>
      <c r="AG193">
        <f>IF(OR(I193="CAT 1",I193="CAT 2",I193="CAT 3",I193="CAT 4"),1,0)</f>
        <v/>
      </c>
      <c r="AH193">
        <f>PRODUCT(AF193:AG193)*AE193</f>
        <v/>
      </c>
    </row>
    <row r="194" customFormat="1" s="12">
      <c r="A194" s="37" t="n">
        <v>193</v>
      </c>
      <c r="B194" s="38" t="n"/>
      <c r="C194" s="39" t="n"/>
      <c r="D194" s="40" t="n"/>
      <c r="E194" s="40" t="n"/>
      <c r="F194" s="39" t="n"/>
      <c r="G194" s="2" t="n"/>
      <c r="H194" s="2" t="n"/>
      <c r="I194" s="39" t="n"/>
      <c r="J194" s="50">
        <f>IF(G194="","",ROUNDDOWN(IF($G194="","",(inception_date-$G194)/365.25),0))</f>
        <v/>
      </c>
      <c r="K194" s="37">
        <f>IF(I194="","",IF($AM$3=1,IFERROR(IF(J194=FALSE,"",VLOOKUP(J194,$AJ$1:$AK$18,2,1)),""),IFERROR(IF(J194 = "FALSE","",VLOOKUP(J194,#REF!,2,TRUE)),"")))</f>
        <v/>
      </c>
      <c r="L194" s="37" t="n"/>
      <c r="M194" s="37" t="n"/>
      <c r="N194" s="37" t="n"/>
      <c r="O194" s="41">
        <f>IF(C194="","",IF(R194=1,"Yes","No"))</f>
        <v/>
      </c>
      <c r="P194" s="51">
        <f>IFERROR(IF(C194="","",IF(AND(Census!C194="E",Census!J194&gt;=18,Census!J194&lt;=65),"Yes","No")),"ERROR")</f>
        <v/>
      </c>
      <c r="Q194" s="52">
        <f>IFERROR(IF(C194="","",IF(AND(Census!C194="E",Census!J194&gt;=18,Census!J194&lt;=64),"Yes","No")),"ERROR")</f>
        <v/>
      </c>
      <c r="R194" s="53">
        <f>IF(OR(AB194&lt;&gt;1,AC194&lt;&gt;1,AD194&lt;&gt;1,AF194&lt;&gt;1,AE194&lt;&gt;1,AG194&lt;&gt;1),-1,1)</f>
        <v/>
      </c>
      <c r="S194" s="54">
        <f>AB194</f>
        <v/>
      </c>
      <c r="T194" s="55">
        <f>AC194</f>
        <v/>
      </c>
      <c r="U194" s="55">
        <f>AD194</f>
        <v/>
      </c>
      <c r="V194" s="55">
        <f>AE194</f>
        <v/>
      </c>
      <c r="W194" s="55">
        <f>AF194</f>
        <v/>
      </c>
      <c r="X194" s="56">
        <f>AG194</f>
        <v/>
      </c>
      <c r="Y194" s="10" t="n"/>
      <c r="Z194" s="64" t="inlineStr">
        <is>
          <t>Omani</t>
        </is>
      </c>
      <c r="AA194" s="10" t="n"/>
      <c r="AB194">
        <f>IFERROR(IF(OR(B194=0,B194=""),0,1),0)</f>
        <v/>
      </c>
      <c r="AC194">
        <f>IFERROR(IF(OR(C194="S",C194="D"),IF(AND(C194="D",D194="F"),1,IF(AND(C194="S",D194="M"),1,0)),IF(OR(C194="W",C194="H"),IF(OR(AND(C194="W",D194="F"),AND(C194="H",D194="M")),1,),IF(OR(D194="M",D194="F"),1,0))),0)</f>
        <v/>
      </c>
      <c r="AD194">
        <f>IFERROR(IF(OR(C194="E",C194="W",C194="H"),1,IF(C194 = "S",IF(D194="M",1,0),IF(D194 = "F",1,0))),0)</f>
        <v/>
      </c>
      <c r="AE194">
        <f>IFERROR(IF(OR(E194="M",E194="S"),IF(E194="M",IF(OR(C194="S",C194 = "D"),0,1),IF(OR(C194="W",C194="H"),0,1)),0),0)</f>
        <v/>
      </c>
      <c r="AF194">
        <f>IF(G194="",-1,IF(AND(G194&lt;=TODAY(),ISNUMBER(DATE(YEAR(G194),MONTH(G194),DAY(G194)))),IF(AND(OR(C194="S",C194="D"),J194&gt;24),-1,1),-1))</f>
        <v/>
      </c>
      <c r="AG194">
        <f>IF(OR(I194="CAT 1",I194="CAT 2",I194="CAT 3",I194="CAT 4"),1,0)</f>
        <v/>
      </c>
      <c r="AH194">
        <f>PRODUCT(AF194:AG194)*AE194</f>
        <v/>
      </c>
    </row>
    <row r="195" customFormat="1" s="12">
      <c r="A195" s="42" t="n">
        <v>194</v>
      </c>
      <c r="B195" s="43" t="n"/>
      <c r="C195" s="44" t="n"/>
      <c r="D195" s="45" t="n"/>
      <c r="E195" s="45" t="n"/>
      <c r="F195" s="39" t="n"/>
      <c r="G195" s="3" t="n"/>
      <c r="H195" s="3" t="n"/>
      <c r="I195" s="44" t="n"/>
      <c r="J195" s="42">
        <f>IF(G195="","",ROUNDDOWN(IF($G195="","",(inception_date-$G195)/365.25),0))</f>
        <v/>
      </c>
      <c r="K195" s="42">
        <f>IF(I195="","",IF($AM$3=1,IFERROR(IF(J195=FALSE,"",VLOOKUP(J195,$AJ$1:$AK$18,2,1)),""),IFERROR(IF(J195 = "FALSE","",VLOOKUP(J195,#REF!,2,TRUE)),"")))</f>
        <v/>
      </c>
      <c r="L195" s="42" t="n"/>
      <c r="M195" s="42" t="n"/>
      <c r="N195" s="42" t="n"/>
      <c r="O195" s="46">
        <f>IF(C195="","",IF(R195=1,"Yes","No"))</f>
        <v/>
      </c>
      <c r="P195" s="57">
        <f>IFERROR(IF(C195="","",IF(AND(Census!C195="E",Census!J195&gt;=18,Census!J195&lt;=65),"Yes","No")),"ERROR")</f>
        <v/>
      </c>
      <c r="Q195" s="58">
        <f>IFERROR(IF(C195="","",IF(AND(Census!C195="E",Census!J195&gt;=18,Census!J195&lt;=64),"Yes","No")),"ERROR")</f>
        <v/>
      </c>
      <c r="R195" s="59">
        <f>IF(OR(AB195&lt;&gt;1,AC195&lt;&gt;1,AD195&lt;&gt;1,AF195&lt;&gt;1,AE195&lt;&gt;1,AG195&lt;&gt;1),-1,1)</f>
        <v/>
      </c>
      <c r="S195" s="60">
        <f>AB195</f>
        <v/>
      </c>
      <c r="T195" s="61">
        <f>AC195</f>
        <v/>
      </c>
      <c r="U195" s="61">
        <f>AD195</f>
        <v/>
      </c>
      <c r="V195" s="61">
        <f>AE195</f>
        <v/>
      </c>
      <c r="W195" s="61">
        <f>AF195</f>
        <v/>
      </c>
      <c r="X195" s="62">
        <f>AG195</f>
        <v/>
      </c>
      <c r="Y195" s="10" t="n"/>
      <c r="Z195" s="64" t="inlineStr">
        <is>
          <t>Pakistani</t>
        </is>
      </c>
      <c r="AA195" s="10" t="n"/>
      <c r="AB195">
        <f>IFERROR(IF(OR(B195=0,B195=""),0,1),0)</f>
        <v/>
      </c>
      <c r="AC195">
        <f>IFERROR(IF(OR(C195="S",C195="D"),IF(AND(C195="D",D195="F"),1,IF(AND(C195="S",D195="M"),1,0)),IF(OR(C195="W",C195="H"),IF(OR(AND(C195="W",D195="F"),AND(C195="H",D195="M")),1,),IF(OR(D195="M",D195="F"),1,0))),0)</f>
        <v/>
      </c>
      <c r="AD195">
        <f>IFERROR(IF(OR(C195="E",C195="W",C195="H"),1,IF(C195 = "S",IF(D195="M",1,0),IF(D195 = "F",1,0))),0)</f>
        <v/>
      </c>
      <c r="AE195">
        <f>IFERROR(IF(OR(E195="M",E195="S"),IF(E195="M",IF(OR(C195="S",C195 = "D"),0,1),IF(OR(C195="W",C195="H"),0,1)),0),0)</f>
        <v/>
      </c>
      <c r="AF195">
        <f>IF(G195="",-1,IF(AND(G195&lt;=TODAY(),ISNUMBER(DATE(YEAR(G195),MONTH(G195),DAY(G195)))),IF(AND(OR(C195="S",C195="D"),J195&gt;24),-1,1),-1))</f>
        <v/>
      </c>
      <c r="AG195">
        <f>IF(OR(I195="CAT 1",I195="CAT 2",I195="CAT 3",I195="CAT 4"),1,0)</f>
        <v/>
      </c>
      <c r="AH195">
        <f>PRODUCT(AF195:AG195)*AE195</f>
        <v/>
      </c>
    </row>
    <row r="196" customFormat="1" s="12">
      <c r="A196" s="37" t="n">
        <v>195</v>
      </c>
      <c r="B196" s="38" t="n"/>
      <c r="C196" s="39" t="n"/>
      <c r="D196" s="40" t="n"/>
      <c r="E196" s="40" t="n"/>
      <c r="F196" s="39" t="n"/>
      <c r="G196" s="2" t="n"/>
      <c r="H196" s="2" t="n"/>
      <c r="I196" s="39" t="n"/>
      <c r="J196" s="50">
        <f>IF(G196="","",ROUNDDOWN(IF($G196="","",(inception_date-$G196)/365.25),0))</f>
        <v/>
      </c>
      <c r="K196" s="37">
        <f>IF(I196="","",IF($AM$3=1,IFERROR(IF(J196=FALSE,"",VLOOKUP(J196,$AJ$1:$AK$18,2,1)),""),IFERROR(IF(J196 = "FALSE","",VLOOKUP(J196,#REF!,2,TRUE)),"")))</f>
        <v/>
      </c>
      <c r="L196" s="37" t="n"/>
      <c r="M196" s="37" t="n"/>
      <c r="N196" s="37" t="n"/>
      <c r="O196" s="41">
        <f>IF(C196="","",IF(R196=1,"Yes","No"))</f>
        <v/>
      </c>
      <c r="P196" s="51">
        <f>IFERROR(IF(C196="","",IF(AND(Census!C196="E",Census!J196&gt;=18,Census!J196&lt;=65),"Yes","No")),"ERROR")</f>
        <v/>
      </c>
      <c r="Q196" s="52">
        <f>IFERROR(IF(C196="","",IF(AND(Census!C196="E",Census!J196&gt;=18,Census!J196&lt;=64),"Yes","No")),"ERROR")</f>
        <v/>
      </c>
      <c r="R196" s="53">
        <f>IF(OR(AB196&lt;&gt;1,AC196&lt;&gt;1,AD196&lt;&gt;1,AF196&lt;&gt;1,AE196&lt;&gt;1,AG196&lt;&gt;1),-1,1)</f>
        <v/>
      </c>
      <c r="S196" s="54">
        <f>AB196</f>
        <v/>
      </c>
      <c r="T196" s="55">
        <f>AC196</f>
        <v/>
      </c>
      <c r="U196" s="55">
        <f>AD196</f>
        <v/>
      </c>
      <c r="V196" s="55">
        <f>AE196</f>
        <v/>
      </c>
      <c r="W196" s="55">
        <f>AF196</f>
        <v/>
      </c>
      <c r="X196" s="56">
        <f>AG196</f>
        <v/>
      </c>
      <c r="Y196" s="10" t="n"/>
      <c r="Z196" s="64" t="inlineStr">
        <is>
          <t>Palauan</t>
        </is>
      </c>
      <c r="AA196" s="10" t="n"/>
      <c r="AB196">
        <f>IFERROR(IF(OR(B196=0,B196=""),0,1),0)</f>
        <v/>
      </c>
      <c r="AC196">
        <f>IFERROR(IF(OR(C196="S",C196="D"),IF(AND(C196="D",D196="F"),1,IF(AND(C196="S",D196="M"),1,0)),IF(OR(C196="W",C196="H"),IF(OR(AND(C196="W",D196="F"),AND(C196="H",D196="M")),1,),IF(OR(D196="M",D196="F"),1,0))),0)</f>
        <v/>
      </c>
      <c r="AD196">
        <f>IFERROR(IF(OR(C196="E",C196="W",C196="H"),1,IF(C196 = "S",IF(D196="M",1,0),IF(D196 = "F",1,0))),0)</f>
        <v/>
      </c>
      <c r="AE196">
        <f>IFERROR(IF(OR(E196="M",E196="S"),IF(E196="M",IF(OR(C196="S",C196 = "D"),0,1),IF(OR(C196="W",C196="H"),0,1)),0),0)</f>
        <v/>
      </c>
      <c r="AF196">
        <f>IF(G196="",-1,IF(AND(G196&lt;=TODAY(),ISNUMBER(DATE(YEAR(G196),MONTH(G196),DAY(G196)))),IF(AND(OR(C196="S",C196="D"),J196&gt;24),-1,1),-1))</f>
        <v/>
      </c>
      <c r="AG196">
        <f>IF(OR(I196="CAT 1",I196="CAT 2",I196="CAT 3",I196="CAT 4"),1,0)</f>
        <v/>
      </c>
      <c r="AH196">
        <f>PRODUCT(AF196:AG196)*AE196</f>
        <v/>
      </c>
    </row>
    <row r="197" customFormat="1" s="12">
      <c r="A197" s="42" t="n">
        <v>196</v>
      </c>
      <c r="B197" s="43" t="n"/>
      <c r="C197" s="44" t="n"/>
      <c r="D197" s="45" t="n"/>
      <c r="E197" s="45" t="n"/>
      <c r="F197" s="39" t="n"/>
      <c r="G197" s="3" t="n"/>
      <c r="H197" s="3" t="n"/>
      <c r="I197" s="44" t="n"/>
      <c r="J197" s="42">
        <f>IF(G197="","",ROUNDDOWN(IF($G197="","",(inception_date-$G197)/365.25),0))</f>
        <v/>
      </c>
      <c r="K197" s="42">
        <f>IF(I197="","",IF($AM$3=1,IFERROR(IF(J197=FALSE,"",VLOOKUP(J197,$AJ$1:$AK$18,2,1)),""),IFERROR(IF(J197 = "FALSE","",VLOOKUP(J197,#REF!,2,TRUE)),"")))</f>
        <v/>
      </c>
      <c r="L197" s="42" t="n"/>
      <c r="M197" s="42" t="n"/>
      <c r="N197" s="42" t="n"/>
      <c r="O197" s="46">
        <f>IF(C197="","",IF(R197=1,"Yes","No"))</f>
        <v/>
      </c>
      <c r="P197" s="57">
        <f>IFERROR(IF(C197="","",IF(AND(Census!C197="E",Census!J197&gt;=18,Census!J197&lt;=65),"Yes","No")),"ERROR")</f>
        <v/>
      </c>
      <c r="Q197" s="58">
        <f>IFERROR(IF(C197="","",IF(AND(Census!C197="E",Census!J197&gt;=18,Census!J197&lt;=64),"Yes","No")),"ERROR")</f>
        <v/>
      </c>
      <c r="R197" s="59">
        <f>IF(OR(AB197&lt;&gt;1,AC197&lt;&gt;1,AD197&lt;&gt;1,AF197&lt;&gt;1,AE197&lt;&gt;1,AG197&lt;&gt;1),-1,1)</f>
        <v/>
      </c>
      <c r="S197" s="60">
        <f>AB197</f>
        <v/>
      </c>
      <c r="T197" s="61">
        <f>AC197</f>
        <v/>
      </c>
      <c r="U197" s="61">
        <f>AD197</f>
        <v/>
      </c>
      <c r="V197" s="61">
        <f>AE197</f>
        <v/>
      </c>
      <c r="W197" s="61">
        <f>AF197</f>
        <v/>
      </c>
      <c r="X197" s="62">
        <f>AG197</f>
        <v/>
      </c>
      <c r="Y197" s="10" t="n"/>
      <c r="Z197" s="64" t="inlineStr">
        <is>
          <t>Palestinian</t>
        </is>
      </c>
      <c r="AA197" s="10" t="n"/>
      <c r="AB197">
        <f>IFERROR(IF(OR(B197=0,B197=""),0,1),0)</f>
        <v/>
      </c>
      <c r="AC197">
        <f>IFERROR(IF(OR(C197="S",C197="D"),IF(AND(C197="D",D197="F"),1,IF(AND(C197="S",D197="M"),1,0)),IF(OR(C197="W",C197="H"),IF(OR(AND(C197="W",D197="F"),AND(C197="H",D197="M")),1,),IF(OR(D197="M",D197="F"),1,0))),0)</f>
        <v/>
      </c>
      <c r="AD197">
        <f>IFERROR(IF(OR(C197="E",C197="W",C197="H"),1,IF(C197 = "S",IF(D197="M",1,0),IF(D197 = "F",1,0))),0)</f>
        <v/>
      </c>
      <c r="AE197">
        <f>IFERROR(IF(OR(E197="M",E197="S"),IF(E197="M",IF(OR(C197="S",C197 = "D"),0,1),IF(OR(C197="W",C197="H"),0,1)),0),0)</f>
        <v/>
      </c>
      <c r="AF197">
        <f>IF(G197="",-1,IF(AND(G197&lt;=TODAY(),ISNUMBER(DATE(YEAR(G197),MONTH(G197),DAY(G197)))),IF(AND(OR(C197="S",C197="D"),J197&gt;24),-1,1),-1))</f>
        <v/>
      </c>
      <c r="AG197">
        <f>IF(OR(I197="CAT 1",I197="CAT 2",I197="CAT 3",I197="CAT 4"),1,0)</f>
        <v/>
      </c>
      <c r="AH197">
        <f>PRODUCT(AF197:AG197)*AE197</f>
        <v/>
      </c>
    </row>
    <row r="198" customFormat="1" s="12">
      <c r="A198" s="37" t="n">
        <v>197</v>
      </c>
      <c r="B198" s="38" t="n"/>
      <c r="C198" s="39" t="n"/>
      <c r="D198" s="40" t="n"/>
      <c r="E198" s="40" t="n"/>
      <c r="F198" s="39" t="n"/>
      <c r="G198" s="2" t="n"/>
      <c r="H198" s="2" t="n"/>
      <c r="I198" s="39" t="n"/>
      <c r="J198" s="50">
        <f>IF(G198="","",ROUNDDOWN(IF($G198="","",(inception_date-$G198)/365.25),0))</f>
        <v/>
      </c>
      <c r="K198" s="37">
        <f>IF(I198="","",IF($AM$3=1,IFERROR(IF(J198=FALSE,"",VLOOKUP(J198,$AJ$1:$AK$18,2,1)),""),IFERROR(IF(J198 = "FALSE","",VLOOKUP(J198,#REF!,2,TRUE)),"")))</f>
        <v/>
      </c>
      <c r="L198" s="37" t="n"/>
      <c r="M198" s="37" t="n"/>
      <c r="N198" s="37" t="n"/>
      <c r="O198" s="41">
        <f>IF(C198="","",IF(R198=1,"Yes","No"))</f>
        <v/>
      </c>
      <c r="P198" s="51">
        <f>IFERROR(IF(C198="","",IF(AND(Census!C198="E",Census!J198&gt;=18,Census!J198&lt;=65),"Yes","No")),"ERROR")</f>
        <v/>
      </c>
      <c r="Q198" s="52">
        <f>IFERROR(IF(C198="","",IF(AND(Census!C198="E",Census!J198&gt;=18,Census!J198&lt;=64),"Yes","No")),"ERROR")</f>
        <v/>
      </c>
      <c r="R198" s="53">
        <f>IF(OR(AB198&lt;&gt;1,AC198&lt;&gt;1,AD198&lt;&gt;1,AF198&lt;&gt;1,AE198&lt;&gt;1,AG198&lt;&gt;1),-1,1)</f>
        <v/>
      </c>
      <c r="S198" s="54">
        <f>AB198</f>
        <v/>
      </c>
      <c r="T198" s="55">
        <f>AC198</f>
        <v/>
      </c>
      <c r="U198" s="55">
        <f>AD198</f>
        <v/>
      </c>
      <c r="V198" s="55">
        <f>AE198</f>
        <v/>
      </c>
      <c r="W198" s="55">
        <f>AF198</f>
        <v/>
      </c>
      <c r="X198" s="56">
        <f>AG198</f>
        <v/>
      </c>
      <c r="Y198" s="10" t="n"/>
      <c r="Z198" s="64" t="inlineStr">
        <is>
          <t>Panamanian</t>
        </is>
      </c>
      <c r="AA198" s="10" t="n"/>
      <c r="AB198">
        <f>IFERROR(IF(OR(B198=0,B198=""),0,1),0)</f>
        <v/>
      </c>
      <c r="AC198">
        <f>IFERROR(IF(OR(C198="S",C198="D"),IF(AND(C198="D",D198="F"),1,IF(AND(C198="S",D198="M"),1,0)),IF(OR(C198="W",C198="H"),IF(OR(AND(C198="W",D198="F"),AND(C198="H",D198="M")),1,),IF(OR(D198="M",D198="F"),1,0))),0)</f>
        <v/>
      </c>
      <c r="AD198">
        <f>IFERROR(IF(OR(C198="E",C198="W",C198="H"),1,IF(C198 = "S",IF(D198="M",1,0),IF(D198 = "F",1,0))),0)</f>
        <v/>
      </c>
      <c r="AE198">
        <f>IFERROR(IF(OR(E198="M",E198="S"),IF(E198="M",IF(OR(C198="S",C198 = "D"),0,1),IF(OR(C198="W",C198="H"),0,1)),0),0)</f>
        <v/>
      </c>
      <c r="AF198">
        <f>IF(G198="",-1,IF(AND(G198&lt;=TODAY(),ISNUMBER(DATE(YEAR(G198),MONTH(G198),DAY(G198)))),IF(AND(OR(C198="S",C198="D"),J198&gt;24),-1,1),-1))</f>
        <v/>
      </c>
      <c r="AG198">
        <f>IF(OR(I198="CAT 1",I198="CAT 2",I198="CAT 3",I198="CAT 4"),1,0)</f>
        <v/>
      </c>
      <c r="AH198">
        <f>PRODUCT(AF198:AG198)*AE198</f>
        <v/>
      </c>
    </row>
    <row r="199" customFormat="1" s="12">
      <c r="A199" s="42" t="n">
        <v>198</v>
      </c>
      <c r="B199" s="43" t="n"/>
      <c r="C199" s="44" t="n"/>
      <c r="D199" s="45" t="n"/>
      <c r="E199" s="45" t="n"/>
      <c r="F199" s="39" t="n"/>
      <c r="G199" s="3" t="n"/>
      <c r="H199" s="3" t="n"/>
      <c r="I199" s="44" t="n"/>
      <c r="J199" s="42">
        <f>IF(G199="","",ROUNDDOWN(IF($G199="","",(inception_date-$G199)/365.25),0))</f>
        <v/>
      </c>
      <c r="K199" s="42">
        <f>IF(I199="","",IF($AM$3=1,IFERROR(IF(J199=FALSE,"",VLOOKUP(J199,$AJ$1:$AK$18,2,1)),""),IFERROR(IF(J199 = "FALSE","",VLOOKUP(J199,#REF!,2,TRUE)),"")))</f>
        <v/>
      </c>
      <c r="L199" s="42" t="n"/>
      <c r="M199" s="42" t="n"/>
      <c r="N199" s="42" t="n"/>
      <c r="O199" s="46">
        <f>IF(C199="","",IF(R199=1,"Yes","No"))</f>
        <v/>
      </c>
      <c r="P199" s="57">
        <f>IFERROR(IF(C199="","",IF(AND(Census!C199="E",Census!J199&gt;=18,Census!J199&lt;=65),"Yes","No")),"ERROR")</f>
        <v/>
      </c>
      <c r="Q199" s="58">
        <f>IFERROR(IF(C199="","",IF(AND(Census!C199="E",Census!J199&gt;=18,Census!J199&lt;=64),"Yes","No")),"ERROR")</f>
        <v/>
      </c>
      <c r="R199" s="59">
        <f>IF(OR(AB199&lt;&gt;1,AC199&lt;&gt;1,AD199&lt;&gt;1,AF199&lt;&gt;1,AE199&lt;&gt;1,AG199&lt;&gt;1),-1,1)</f>
        <v/>
      </c>
      <c r="S199" s="60">
        <f>AB199</f>
        <v/>
      </c>
      <c r="T199" s="61">
        <f>AC199</f>
        <v/>
      </c>
      <c r="U199" s="61">
        <f>AD199</f>
        <v/>
      </c>
      <c r="V199" s="61">
        <f>AE199</f>
        <v/>
      </c>
      <c r="W199" s="61">
        <f>AF199</f>
        <v/>
      </c>
      <c r="X199" s="62">
        <f>AG199</f>
        <v/>
      </c>
      <c r="Y199" s="10" t="n"/>
      <c r="Z199" s="64" t="inlineStr">
        <is>
          <t>Papua New Guinean</t>
        </is>
      </c>
      <c r="AA199" s="10" t="n"/>
      <c r="AB199">
        <f>IFERROR(IF(OR(B199=0,B199=""),0,1),0)</f>
        <v/>
      </c>
      <c r="AC199">
        <f>IFERROR(IF(OR(C199="S",C199="D"),IF(AND(C199="D",D199="F"),1,IF(AND(C199="S",D199="M"),1,0)),IF(OR(C199="W",C199="H"),IF(OR(AND(C199="W",D199="F"),AND(C199="H",D199="M")),1,),IF(OR(D199="M",D199="F"),1,0))),0)</f>
        <v/>
      </c>
      <c r="AD199">
        <f>IFERROR(IF(OR(C199="E",C199="W",C199="H"),1,IF(C199 = "S",IF(D199="M",1,0),IF(D199 = "F",1,0))),0)</f>
        <v/>
      </c>
      <c r="AE199">
        <f>IFERROR(IF(OR(E199="M",E199="S"),IF(E199="M",IF(OR(C199="S",C199 = "D"),0,1),IF(OR(C199="W",C199="H"),0,1)),0),0)</f>
        <v/>
      </c>
      <c r="AF199">
        <f>IF(G199="",-1,IF(AND(G199&lt;=TODAY(),ISNUMBER(DATE(YEAR(G199),MONTH(G199),DAY(G199)))),IF(AND(OR(C199="S",C199="D"),J199&gt;24),-1,1),-1))</f>
        <v/>
      </c>
      <c r="AG199">
        <f>IF(OR(I199="CAT 1",I199="CAT 2",I199="CAT 3",I199="CAT 4"),1,0)</f>
        <v/>
      </c>
      <c r="AH199">
        <f>PRODUCT(AF199:AG199)*AE199</f>
        <v/>
      </c>
    </row>
    <row r="200" customFormat="1" s="12">
      <c r="A200" s="37" t="n">
        <v>199</v>
      </c>
      <c r="B200" s="38" t="n"/>
      <c r="C200" s="39" t="n"/>
      <c r="D200" s="40" t="n"/>
      <c r="E200" s="40" t="n"/>
      <c r="F200" s="39" t="n"/>
      <c r="G200" s="2" t="n"/>
      <c r="H200" s="2" t="n"/>
      <c r="I200" s="39" t="n"/>
      <c r="J200" s="50">
        <f>IF(G200="","",ROUNDDOWN(IF($G200="","",(inception_date-$G200)/365.25),0))</f>
        <v/>
      </c>
      <c r="K200" s="37">
        <f>IF(I200="","",IF($AM$3=1,IFERROR(IF(J200=FALSE,"",VLOOKUP(J200,$AJ$1:$AK$18,2,1)),""),IFERROR(IF(J200 = "FALSE","",VLOOKUP(J200,#REF!,2,TRUE)),"")))</f>
        <v/>
      </c>
      <c r="L200" s="37" t="n"/>
      <c r="M200" s="37" t="n"/>
      <c r="N200" s="37" t="n"/>
      <c r="O200" s="41">
        <f>IF(C200="","",IF(R200=1,"Yes","No"))</f>
        <v/>
      </c>
      <c r="P200" s="51">
        <f>IFERROR(IF(C200="","",IF(AND(Census!C200="E",Census!J200&gt;=18,Census!J200&lt;=65),"Yes","No")),"ERROR")</f>
        <v/>
      </c>
      <c r="Q200" s="52">
        <f>IFERROR(IF(C200="","",IF(AND(Census!C200="E",Census!J200&gt;=18,Census!J200&lt;=64),"Yes","No")),"ERROR")</f>
        <v/>
      </c>
      <c r="R200" s="53">
        <f>IF(OR(AB200&lt;&gt;1,AC200&lt;&gt;1,AD200&lt;&gt;1,AF200&lt;&gt;1,AE200&lt;&gt;1,AG200&lt;&gt;1),-1,1)</f>
        <v/>
      </c>
      <c r="S200" s="54">
        <f>AB200</f>
        <v/>
      </c>
      <c r="T200" s="55">
        <f>AC200</f>
        <v/>
      </c>
      <c r="U200" s="55">
        <f>AD200</f>
        <v/>
      </c>
      <c r="V200" s="55">
        <f>AE200</f>
        <v/>
      </c>
      <c r="W200" s="55">
        <f>AF200</f>
        <v/>
      </c>
      <c r="X200" s="56">
        <f>AG200</f>
        <v/>
      </c>
      <c r="Y200" s="10" t="n"/>
      <c r="Z200" s="64" t="inlineStr">
        <is>
          <t>Paraguayan</t>
        </is>
      </c>
      <c r="AA200" s="10" t="n"/>
      <c r="AB200">
        <f>IFERROR(IF(OR(B200=0,B200=""),0,1),0)</f>
        <v/>
      </c>
      <c r="AC200">
        <f>IFERROR(IF(OR(C200="S",C200="D"),IF(AND(C200="D",D200="F"),1,IF(AND(C200="S",D200="M"),1,0)),IF(OR(C200="W",C200="H"),IF(OR(AND(C200="W",D200="F"),AND(C200="H",D200="M")),1,),IF(OR(D200="M",D200="F"),1,0))),0)</f>
        <v/>
      </c>
      <c r="AD200">
        <f>IFERROR(IF(OR(C200="E",C200="W",C200="H"),1,IF(C200 = "S",IF(D200="M",1,0),IF(D200 = "F",1,0))),0)</f>
        <v/>
      </c>
      <c r="AE200">
        <f>IFERROR(IF(OR(E200="M",E200="S"),IF(E200="M",IF(OR(C200="S",C200 = "D"),0,1),IF(OR(C200="W",C200="H"),0,1)),0),0)</f>
        <v/>
      </c>
      <c r="AF200">
        <f>IF(G200="",-1,IF(AND(G200&lt;=TODAY(),ISNUMBER(DATE(YEAR(G200),MONTH(G200),DAY(G200)))),IF(AND(OR(C200="S",C200="D"),J200&gt;24),-1,1),-1))</f>
        <v/>
      </c>
      <c r="AG200">
        <f>IF(OR(I200="CAT 1",I200="CAT 2",I200="CAT 3",I200="CAT 4"),1,0)</f>
        <v/>
      </c>
      <c r="AH200">
        <f>PRODUCT(AF200:AG200)*AE200</f>
        <v/>
      </c>
    </row>
    <row r="201" customFormat="1" s="12">
      <c r="A201" s="42" t="n">
        <v>200</v>
      </c>
      <c r="B201" s="43" t="n"/>
      <c r="C201" s="44" t="n"/>
      <c r="D201" s="45" t="n"/>
      <c r="E201" s="45" t="n"/>
      <c r="F201" s="39" t="n"/>
      <c r="G201" s="3" t="n"/>
      <c r="H201" s="3" t="n"/>
      <c r="I201" s="44" t="n"/>
      <c r="J201" s="42">
        <f>IF(G201="","",ROUNDDOWN(IF($G201="","",(inception_date-$G201)/365.25),0))</f>
        <v/>
      </c>
      <c r="K201" s="42">
        <f>IF(I201="","",IF($AM$3=1,IFERROR(IF(J201=FALSE,"",VLOOKUP(J201,$AJ$1:$AK$18,2,1)),""),IFERROR(IF(J201 = "FALSE","",VLOOKUP(J201,#REF!,2,TRUE)),"")))</f>
        <v/>
      </c>
      <c r="L201" s="42" t="n"/>
      <c r="M201" s="42" t="n"/>
      <c r="N201" s="42" t="n"/>
      <c r="O201" s="46">
        <f>IF(C201="","",IF(R201=1,"Yes","No"))</f>
        <v/>
      </c>
      <c r="P201" s="57">
        <f>IFERROR(IF(C201="","",IF(AND(Census!C201="E",Census!J201&gt;=18,Census!J201&lt;=65),"Yes","No")),"ERROR")</f>
        <v/>
      </c>
      <c r="Q201" s="58">
        <f>IFERROR(IF(C201="","",IF(AND(Census!C201="E",Census!J201&gt;=18,Census!J201&lt;=64),"Yes","No")),"ERROR")</f>
        <v/>
      </c>
      <c r="R201" s="59">
        <f>IF(OR(AB201&lt;&gt;1,AC201&lt;&gt;1,AD201&lt;&gt;1,AF201&lt;&gt;1,AE201&lt;&gt;1,AG201&lt;&gt;1),-1,1)</f>
        <v/>
      </c>
      <c r="S201" s="60">
        <f>AB201</f>
        <v/>
      </c>
      <c r="T201" s="61">
        <f>AC201</f>
        <v/>
      </c>
      <c r="U201" s="61">
        <f>AD201</f>
        <v/>
      </c>
      <c r="V201" s="61">
        <f>AE201</f>
        <v/>
      </c>
      <c r="W201" s="61">
        <f>AF201</f>
        <v/>
      </c>
      <c r="X201" s="62">
        <f>AG201</f>
        <v/>
      </c>
      <c r="Y201" s="10" t="n"/>
      <c r="Z201" s="64" t="inlineStr">
        <is>
          <t>Peruvian</t>
        </is>
      </c>
      <c r="AA201" s="10" t="n"/>
      <c r="AB201">
        <f>IFERROR(IF(OR(B201=0,B201=""),0,1),0)</f>
        <v/>
      </c>
      <c r="AC201">
        <f>IFERROR(IF(OR(C201="S",C201="D"),IF(AND(C201="D",D201="F"),1,IF(AND(C201="S",D201="M"),1,0)),IF(OR(C201="W",C201="H"),IF(OR(AND(C201="W",D201="F"),AND(C201="H",D201="M")),1,),IF(OR(D201="M",D201="F"),1,0))),0)</f>
        <v/>
      </c>
      <c r="AD201">
        <f>IFERROR(IF(OR(C201="E",C201="W",C201="H"),1,IF(C201 = "S",IF(D201="M",1,0),IF(D201 = "F",1,0))),0)</f>
        <v/>
      </c>
      <c r="AE201">
        <f>IFERROR(IF(OR(E201="M",E201="S"),IF(E201="M",IF(OR(C201="S",C201 = "D"),0,1),IF(OR(C201="W",C201="H"),0,1)),0),0)</f>
        <v/>
      </c>
      <c r="AF201">
        <f>IF(G201="",-1,IF(AND(G201&lt;=TODAY(),ISNUMBER(DATE(YEAR(G201),MONTH(G201),DAY(G201)))),IF(AND(OR(C201="S",C201="D"),J201&gt;24),-1,1),-1))</f>
        <v/>
      </c>
      <c r="AG201">
        <f>IF(OR(I201="CAT 1",I201="CAT 2",I201="CAT 3",I201="CAT 4"),1,0)</f>
        <v/>
      </c>
      <c r="AH201">
        <f>PRODUCT(AF201:AG201)*AE201</f>
        <v/>
      </c>
    </row>
    <row r="202" customFormat="1" s="12">
      <c r="A202" s="9" t="n"/>
      <c r="B202" s="38" t="n"/>
      <c r="C202" s="39" t="n"/>
      <c r="D202" s="40" t="n"/>
      <c r="E202" s="40" t="n"/>
      <c r="F202" s="39" t="n"/>
      <c r="G202" s="2" t="n"/>
      <c r="H202" s="2" t="n"/>
      <c r="I202" s="39" t="n"/>
      <c r="J202" s="50" t="n"/>
      <c r="K202" s="37" t="n"/>
      <c r="L202" s="37" t="n"/>
      <c r="M202" s="37" t="n"/>
      <c r="N202" s="37" t="n"/>
      <c r="O202" s="41" t="n"/>
      <c r="P202" s="51" t="n"/>
      <c r="Q202" s="52" t="n"/>
      <c r="R202" s="53" t="n"/>
      <c r="S202" s="54" t="n"/>
      <c r="T202" s="55" t="n"/>
      <c r="U202" s="55" t="n"/>
      <c r="V202" s="55" t="n"/>
      <c r="W202" s="55" t="n"/>
      <c r="X202" s="56" t="n"/>
      <c r="Y202" s="10" t="n"/>
      <c r="Z202" s="64" t="inlineStr">
        <is>
          <t>Philippine</t>
        </is>
      </c>
      <c r="AA202" s="10" t="n"/>
    </row>
    <row r="203" hidden="1" ht="15" customFormat="1" customHeight="1" s="12" thickBot="1">
      <c r="A203" s="14" t="n"/>
      <c r="B203" s="15" t="n"/>
      <c r="C203" s="16" t="n"/>
      <c r="D203" s="17" t="n"/>
      <c r="E203" s="17" t="n"/>
      <c r="F203" s="17" t="n"/>
      <c r="G203" s="3" t="n"/>
      <c r="H203" s="16" t="n"/>
      <c r="I203" s="16" t="n"/>
      <c r="J203" s="24" t="n"/>
      <c r="K203" s="24" t="n"/>
      <c r="L203" s="24" t="n"/>
      <c r="M203" s="24" t="n"/>
      <c r="N203" s="24" t="n"/>
      <c r="O203" s="28" t="n"/>
      <c r="P203" s="18" t="n"/>
      <c r="Q203" s="19" t="n"/>
      <c r="R203" s="20" t="n"/>
      <c r="S203" s="25" t="n"/>
      <c r="T203" s="26" t="n"/>
      <c r="U203" s="26" t="n"/>
      <c r="V203" s="26" t="n"/>
      <c r="W203" s="26" t="n"/>
      <c r="X203" s="27" t="n"/>
      <c r="Y203" s="10" t="n"/>
      <c r="Z203" s="64" t="inlineStr">
        <is>
          <t>Pitcairn</t>
        </is>
      </c>
      <c r="AA203" s="10" t="n"/>
    </row>
    <row r="204" hidden="1" ht="14.45" customHeight="1">
      <c r="A204" s="29" t="n"/>
      <c r="B204" s="30" t="n"/>
      <c r="C204" s="30" t="n"/>
      <c r="D204" s="30" t="n"/>
      <c r="E204" s="30" t="n"/>
      <c r="F204" s="30" t="n"/>
      <c r="G204" s="71" t="n"/>
      <c r="H204" s="30" t="n"/>
      <c r="I204" s="30" t="n"/>
      <c r="J204" s="30" t="n"/>
      <c r="K204" s="30" t="n"/>
      <c r="L204" s="30" t="n"/>
      <c r="M204" s="30" t="n"/>
      <c r="N204" s="30" t="n"/>
      <c r="O204" s="30" t="n"/>
      <c r="P204" s="30" t="n"/>
      <c r="Q204" s="30" t="n"/>
      <c r="R204" s="30" t="n"/>
      <c r="S204" s="30" t="n"/>
      <c r="T204" s="30" t="n"/>
      <c r="U204" s="30" t="n"/>
      <c r="V204" s="30" t="n"/>
      <c r="W204" s="30" t="n"/>
      <c r="X204" s="30" t="n"/>
      <c r="Y204" s="30" t="n"/>
      <c r="Z204" s="64" t="inlineStr">
        <is>
          <t>Polish</t>
        </is>
      </c>
      <c r="AA204" s="30" t="n"/>
    </row>
    <row r="205" hidden="1" ht="14.45" customHeight="1">
      <c r="A205" s="29" t="n"/>
      <c r="B205" s="30" t="n"/>
      <c r="C205" s="30" t="n"/>
      <c r="D205" s="30" t="n"/>
      <c r="E205" s="30" t="n"/>
      <c r="F205" s="30" t="n"/>
      <c r="G205" s="71" t="n"/>
      <c r="H205" s="30" t="n"/>
      <c r="I205" s="30" t="n"/>
      <c r="J205" s="30" t="n"/>
      <c r="K205" s="30" t="n"/>
      <c r="L205" s="30" t="n"/>
      <c r="M205" s="30" t="n"/>
      <c r="N205" s="30" t="n"/>
      <c r="O205" s="30" t="n"/>
      <c r="P205" s="30" t="n"/>
      <c r="Q205" s="30" t="n"/>
      <c r="R205" s="30" t="n"/>
      <c r="S205" s="30" t="n"/>
      <c r="T205" s="30" t="n"/>
      <c r="U205" s="30" t="n"/>
      <c r="V205" s="30" t="n"/>
      <c r="W205" s="30" t="n"/>
      <c r="X205" s="30" t="n"/>
      <c r="Y205" s="30" t="n"/>
      <c r="Z205" s="64" t="inlineStr">
        <is>
          <t>Portuguese</t>
        </is>
      </c>
      <c r="AA205" s="30" t="n"/>
    </row>
    <row r="206" hidden="1" ht="14.45" customHeight="1">
      <c r="B206" s="22">
        <f>COUNTA(B2:B201)</f>
        <v/>
      </c>
      <c r="C206" s="22">
        <f>COUNTA(C2:C201)</f>
        <v/>
      </c>
      <c r="D206" s="22">
        <f>COUNTA(D2:D201)</f>
        <v/>
      </c>
      <c r="E206" s="22">
        <f>COUNTA(E2:E201)</f>
        <v/>
      </c>
      <c r="G206" s="72">
        <f>COUNTA(G2:G201)</f>
        <v/>
      </c>
      <c r="I206" s="22">
        <f>COUNTA(I2:I201)</f>
        <v/>
      </c>
      <c r="Z206" s="64" t="inlineStr">
        <is>
          <t>Puerto Rican</t>
        </is>
      </c>
    </row>
    <row r="207" hidden="1" ht="14.45" customHeight="1">
      <c r="B207" s="22" t="inlineStr">
        <is>
          <t>Validation number of items per column</t>
        </is>
      </c>
      <c r="I207" s="32">
        <f>IF(AND(B206=C206,C206=D206,D206=E206,E206=G206,G206=I206),1,0)</f>
        <v/>
      </c>
      <c r="Z207" s="64" t="inlineStr">
        <is>
          <t>Qatari</t>
        </is>
      </c>
    </row>
    <row r="208" hidden="1" ht="14.45" customHeight="1">
      <c r="B208" s="22" t="inlineStr">
        <is>
          <t>Validation min number of E for Life</t>
        </is>
      </c>
      <c r="C208" s="22">
        <f>COUNTIFS(Census!$C$2:$C$201,"=E",Census!$Q$2:$Q$201,"=Yes")</f>
        <v/>
      </c>
      <c r="I208" s="32" t="n"/>
      <c r="K208" s="4" t="inlineStr">
        <is>
          <t>Relation</t>
        </is>
      </c>
      <c r="L208" s="4" t="n"/>
      <c r="M208" s="4" t="n"/>
      <c r="N208" s="4" t="n"/>
      <c r="O208" s="4" t="inlineStr">
        <is>
          <t>Gender</t>
        </is>
      </c>
      <c r="P208" s="4" t="inlineStr">
        <is>
          <t>Marital</t>
        </is>
      </c>
      <c r="Q208" s="12" t="n"/>
      <c r="R208" s="4" t="inlineStr">
        <is>
          <t>Category</t>
        </is>
      </c>
      <c r="Z208" s="64" t="inlineStr">
        <is>
          <t>Romanian</t>
        </is>
      </c>
    </row>
    <row r="209" hidden="1" ht="14.45" customFormat="1" customHeight="1" s="22">
      <c r="G209" s="72" t="n"/>
      <c r="K209" s="12" t="inlineStr">
        <is>
          <t>E</t>
        </is>
      </c>
      <c r="L209" s="12" t="n"/>
      <c r="M209" s="12" t="n"/>
      <c r="N209" s="12" t="n"/>
      <c r="O209" s="12" t="inlineStr">
        <is>
          <t>F</t>
        </is>
      </c>
      <c r="P209" s="12" t="inlineStr">
        <is>
          <t>M</t>
        </is>
      </c>
      <c r="Q209" s="12">
        <f>K209 &amp;O209 &amp;P209</f>
        <v/>
      </c>
      <c r="R209" s="12" t="inlineStr">
        <is>
          <t>Employee Female – Married</t>
        </is>
      </c>
      <c r="V209" s="12" t="n"/>
      <c r="Z209" s="64" t="inlineStr">
        <is>
          <t>Russian</t>
        </is>
      </c>
    </row>
    <row r="210" hidden="1" ht="14.45" customFormat="1" customHeight="1" s="22">
      <c r="B210" s="33" t="inlineStr">
        <is>
          <t xml:space="preserve">Overaged members excluded from </t>
        </is>
      </c>
      <c r="C210" s="34" t="inlineStr">
        <is>
          <t>health-CAT 1</t>
        </is>
      </c>
      <c r="G210" s="73" t="inlineStr">
        <is>
          <t>PA &amp; WC-CAT 1</t>
        </is>
      </c>
      <c r="H210" s="33" t="n"/>
      <c r="K210" s="12" t="inlineStr">
        <is>
          <t>E</t>
        </is>
      </c>
      <c r="L210" s="12" t="n"/>
      <c r="M210" s="12" t="n"/>
      <c r="N210" s="12" t="n"/>
      <c r="O210" s="12" t="inlineStr">
        <is>
          <t>F</t>
        </is>
      </c>
      <c r="P210" s="12" t="inlineStr">
        <is>
          <t>S</t>
        </is>
      </c>
      <c r="Q210" s="12">
        <f>K210 &amp;O210 &amp;P210</f>
        <v/>
      </c>
      <c r="R210" s="12" t="inlineStr">
        <is>
          <t>Employee Female – Single</t>
        </is>
      </c>
      <c r="V210" s="12" t="n"/>
      <c r="Z210" s="64" t="inlineStr">
        <is>
          <t>Rwandan</t>
        </is>
      </c>
    </row>
    <row r="211" hidden="1" ht="14.45" customFormat="1" customHeight="1" s="22">
      <c r="B211" s="33" t="inlineStr">
        <is>
          <t>Overaged members excluded from</t>
        </is>
      </c>
      <c r="C211" s="34" t="inlineStr">
        <is>
          <t>health-CAT 2</t>
        </is>
      </c>
      <c r="G211" s="73" t="inlineStr">
        <is>
          <t>PA &amp; WC-CAT 2</t>
        </is>
      </c>
      <c r="H211" s="33" t="n"/>
      <c r="K211" s="12" t="inlineStr">
        <is>
          <t>E</t>
        </is>
      </c>
      <c r="L211" s="12" t="n"/>
      <c r="M211" s="12" t="n"/>
      <c r="N211" s="12" t="n"/>
      <c r="O211" s="12" t="inlineStr">
        <is>
          <t>M</t>
        </is>
      </c>
      <c r="P211" s="12" t="inlineStr">
        <is>
          <t>M</t>
        </is>
      </c>
      <c r="Q211" s="12">
        <f>K211 &amp;O211 &amp;P211</f>
        <v/>
      </c>
      <c r="R211" s="12" t="inlineStr">
        <is>
          <t>Employee Male – Married</t>
        </is>
      </c>
      <c r="Z211" s="64" t="inlineStr">
        <is>
          <t xml:space="preserve">Saint Helena </t>
        </is>
      </c>
    </row>
    <row r="212" hidden="1" ht="14.45" customFormat="1" customHeight="1" s="22">
      <c r="G212" s="72" t="n"/>
      <c r="K212" s="12" t="inlineStr">
        <is>
          <t>E</t>
        </is>
      </c>
      <c r="L212" s="12" t="n"/>
      <c r="M212" s="12" t="n"/>
      <c r="N212" s="12" t="n"/>
      <c r="O212" s="12" t="inlineStr">
        <is>
          <t>M</t>
        </is>
      </c>
      <c r="P212" s="12" t="inlineStr">
        <is>
          <t>S</t>
        </is>
      </c>
      <c r="Q212" s="12">
        <f>K212 &amp;O212 &amp;P212</f>
        <v/>
      </c>
      <c r="R212" s="12" t="inlineStr">
        <is>
          <t>Employee Male – Single</t>
        </is>
      </c>
      <c r="Z212" s="64" t="inlineStr">
        <is>
          <t>Saint Lucian</t>
        </is>
      </c>
    </row>
    <row r="213" hidden="1" ht="14.45" customFormat="1" customHeight="1" s="22">
      <c r="C213" s="22" t="inlineStr">
        <is>
          <t>Relation List</t>
        </is>
      </c>
      <c r="D213" s="22" t="inlineStr">
        <is>
          <t>Gender List</t>
        </is>
      </c>
      <c r="E213" s="22" t="inlineStr">
        <is>
          <t>Marital</t>
        </is>
      </c>
      <c r="G213" s="72" t="inlineStr">
        <is>
          <t>Category List</t>
        </is>
      </c>
      <c r="I213" s="22" t="inlineStr">
        <is>
          <t>Chk rel</t>
        </is>
      </c>
      <c r="K213" s="12" t="inlineStr">
        <is>
          <t>W</t>
        </is>
      </c>
      <c r="L213" s="12" t="n"/>
      <c r="M213" s="12" t="n"/>
      <c r="N213" s="12" t="n"/>
      <c r="O213" s="12" t="inlineStr">
        <is>
          <t>F</t>
        </is>
      </c>
      <c r="P213" s="12" t="inlineStr">
        <is>
          <t>M</t>
        </is>
      </c>
      <c r="Q213" s="12">
        <f>K213 &amp;O213 &amp;P213</f>
        <v/>
      </c>
      <c r="R213" s="12" t="inlineStr">
        <is>
          <t>Spouse – Female</t>
        </is>
      </c>
      <c r="T213" s="12" t="n"/>
      <c r="Z213" s="64" t="inlineStr">
        <is>
          <t>Saint Pierre And Miquelon</t>
        </is>
      </c>
    </row>
    <row r="214" hidden="1" ht="14.45" customFormat="1" customHeight="1" s="22">
      <c r="C214" s="22" t="inlineStr">
        <is>
          <t>E</t>
        </is>
      </c>
      <c r="D214" s="22" t="inlineStr">
        <is>
          <t>M</t>
        </is>
      </c>
      <c r="E214" s="22" t="inlineStr">
        <is>
          <t>M</t>
        </is>
      </c>
      <c r="G214" s="72" t="inlineStr">
        <is>
          <t>CAT 1</t>
        </is>
      </c>
      <c r="I214" s="22" t="n">
        <v>1</v>
      </c>
      <c r="K214" s="12" t="inlineStr">
        <is>
          <t>H</t>
        </is>
      </c>
      <c r="L214" s="12" t="n"/>
      <c r="M214" s="12" t="n"/>
      <c r="N214" s="12" t="n"/>
      <c r="O214" s="12" t="inlineStr">
        <is>
          <t>M</t>
        </is>
      </c>
      <c r="P214" s="12" t="inlineStr">
        <is>
          <t>M</t>
        </is>
      </c>
      <c r="Q214" s="12">
        <f>K214 &amp;O214 &amp;P214</f>
        <v/>
      </c>
      <c r="R214" s="12" t="inlineStr">
        <is>
          <t>Spouse – Male</t>
        </is>
      </c>
      <c r="Z214" s="64" t="inlineStr">
        <is>
          <t>Salvadoran</t>
        </is>
      </c>
    </row>
    <row r="215" hidden="1" ht="14.45" customFormat="1" customHeight="1" s="22">
      <c r="C215" s="22" t="inlineStr">
        <is>
          <t>W</t>
        </is>
      </c>
      <c r="D215" s="22" t="inlineStr">
        <is>
          <t>F</t>
        </is>
      </c>
      <c r="E215" s="22" t="inlineStr">
        <is>
          <t>S</t>
        </is>
      </c>
      <c r="G215" s="72" t="inlineStr">
        <is>
          <t>CAT 2</t>
        </is>
      </c>
      <c r="I215" s="22" t="n">
        <v>1</v>
      </c>
      <c r="K215" s="12" t="inlineStr">
        <is>
          <t>D</t>
        </is>
      </c>
      <c r="L215" s="12" t="n"/>
      <c r="M215" s="12" t="n"/>
      <c r="N215" s="12" t="n"/>
      <c r="O215" s="12" t="inlineStr">
        <is>
          <t>F</t>
        </is>
      </c>
      <c r="P215" s="12" t="inlineStr">
        <is>
          <t>S</t>
        </is>
      </c>
      <c r="Q215" s="12">
        <f>K215 &amp;O215 &amp;P215</f>
        <v/>
      </c>
      <c r="R215" s="12" t="inlineStr">
        <is>
          <t>Child – Female</t>
        </is>
      </c>
      <c r="T215" s="12" t="n"/>
      <c r="Z215" s="64" t="inlineStr">
        <is>
          <t>Sammarinese</t>
        </is>
      </c>
    </row>
    <row r="216" hidden="1" ht="14.45" customFormat="1" customHeight="1" s="22">
      <c r="C216" s="22" t="inlineStr">
        <is>
          <t>H</t>
        </is>
      </c>
      <c r="G216" s="72" t="inlineStr">
        <is>
          <t>CAT 3</t>
        </is>
      </c>
      <c r="I216" s="22" t="n">
        <v>1</v>
      </c>
      <c r="K216" s="12" t="inlineStr">
        <is>
          <t>S</t>
        </is>
      </c>
      <c r="L216" s="12" t="n"/>
      <c r="M216" s="12" t="n"/>
      <c r="N216" s="12" t="n"/>
      <c r="O216" s="12" t="inlineStr">
        <is>
          <t>M</t>
        </is>
      </c>
      <c r="P216" s="12" t="inlineStr">
        <is>
          <t>S</t>
        </is>
      </c>
      <c r="Q216" s="12">
        <f>K216 &amp;O216 &amp;P216</f>
        <v/>
      </c>
      <c r="R216" s="12" t="inlineStr">
        <is>
          <t>Child – Male</t>
        </is>
      </c>
      <c r="Z216" s="64" t="inlineStr">
        <is>
          <t>Samoan</t>
        </is>
      </c>
    </row>
    <row r="217" hidden="1" ht="14.45" customFormat="1" customHeight="1" s="22">
      <c r="C217" s="22" t="inlineStr">
        <is>
          <t>S</t>
        </is>
      </c>
      <c r="G217" s="72" t="inlineStr">
        <is>
          <t>CAT 4</t>
        </is>
      </c>
      <c r="I217" s="22" t="n">
        <v>1</v>
      </c>
      <c r="Z217" s="64" t="inlineStr">
        <is>
          <t>Santomean</t>
        </is>
      </c>
    </row>
    <row r="218" hidden="1" ht="14.45" customFormat="1" customHeight="1" s="22">
      <c r="C218" s="22" t="inlineStr">
        <is>
          <t>D</t>
        </is>
      </c>
      <c r="G218" s="72" t="n"/>
      <c r="I218" s="22" t="n">
        <v>1</v>
      </c>
      <c r="Z218" s="64" t="inlineStr">
        <is>
          <t>Saudi</t>
        </is>
      </c>
    </row>
    <row r="219" hidden="1" ht="14.45" customHeight="1">
      <c r="Z219" s="64" t="inlineStr">
        <is>
          <t>Senegalese</t>
        </is>
      </c>
    </row>
    <row r="220" hidden="1" ht="14.45" customHeight="1">
      <c r="Z220" s="64" t="inlineStr">
        <is>
          <t>Serbian</t>
        </is>
      </c>
    </row>
    <row r="221" hidden="1" ht="14.45" customHeight="1">
      <c r="Z221" s="64" t="inlineStr">
        <is>
          <t>Seychellois</t>
        </is>
      </c>
    </row>
    <row r="222" hidden="1" ht="14.45" customHeight="1">
      <c r="Z222" s="64" t="inlineStr">
        <is>
          <t>Sierra Leonean</t>
        </is>
      </c>
    </row>
    <row r="223" hidden="1" ht="14.45" customHeight="1">
      <c r="Z223" s="64" t="inlineStr">
        <is>
          <t>Singapore</t>
        </is>
      </c>
    </row>
    <row r="224" hidden="1" ht="14.45" customHeight="1">
      <c r="Z224" s="64" t="inlineStr">
        <is>
          <t>Slovak</t>
        </is>
      </c>
    </row>
    <row r="225" hidden="1" ht="14.45" customHeight="1">
      <c r="Z225" s="64" t="inlineStr">
        <is>
          <t>Slovenian</t>
        </is>
      </c>
    </row>
    <row r="226" hidden="1" ht="14.45" customHeight="1">
      <c r="Z226" s="64" t="inlineStr">
        <is>
          <t>Solomon Islands</t>
        </is>
      </c>
    </row>
    <row r="227" hidden="1" ht="14.45" customHeight="1">
      <c r="Z227" s="64" t="inlineStr">
        <is>
          <t>Somali</t>
        </is>
      </c>
    </row>
    <row r="228" hidden="1" ht="14.45" customHeight="1">
      <c r="Z228" s="64" t="inlineStr">
        <is>
          <t>South African</t>
        </is>
      </c>
    </row>
    <row r="229" hidden="1" ht="14.45" customHeight="1">
      <c r="Z229" s="64" t="inlineStr">
        <is>
          <t>South Georgia</t>
        </is>
      </c>
    </row>
    <row r="230" hidden="1" ht="14.45" customHeight="1">
      <c r="Z230" s="64" t="inlineStr">
        <is>
          <t>Spanish</t>
        </is>
      </c>
    </row>
    <row r="231" hidden="1" ht="14.45" customHeight="1">
      <c r="Z231" s="64" t="inlineStr">
        <is>
          <t>Sri Lankan</t>
        </is>
      </c>
    </row>
    <row r="232" hidden="1" ht="14.45" customHeight="1">
      <c r="Z232" s="64" t="inlineStr">
        <is>
          <t>Sudanese</t>
        </is>
      </c>
    </row>
    <row r="233" hidden="1" ht="14.45" customHeight="1">
      <c r="Z233" s="64" t="inlineStr">
        <is>
          <t>Surinamese</t>
        </is>
      </c>
    </row>
    <row r="234" hidden="1" ht="14.45" customHeight="1">
      <c r="Z234" s="64" t="inlineStr">
        <is>
          <t>Svalbard And Jan Mayen</t>
        </is>
      </c>
    </row>
    <row r="235" hidden="1" ht="14.45" customHeight="1">
      <c r="Z235" s="64" t="inlineStr">
        <is>
          <t>Swazi</t>
        </is>
      </c>
    </row>
    <row r="236" hidden="1" ht="14.45" customHeight="1">
      <c r="Z236" s="64" t="inlineStr">
        <is>
          <t>Swedish</t>
        </is>
      </c>
    </row>
    <row r="237" hidden="1" ht="14.45" customHeight="1">
      <c r="Z237" s="64" t="inlineStr">
        <is>
          <t>Swiss</t>
        </is>
      </c>
    </row>
    <row r="238" hidden="1" ht="14.45" customHeight="1">
      <c r="Z238" s="64" t="inlineStr">
        <is>
          <t>Syrian</t>
        </is>
      </c>
    </row>
    <row r="239" hidden="1" ht="14.45" customHeight="1">
      <c r="Z239" s="64" t="inlineStr">
        <is>
          <t>Tajikistani</t>
        </is>
      </c>
    </row>
    <row r="240" hidden="1" ht="14.45" customHeight="1">
      <c r="Z240" s="64" t="inlineStr">
        <is>
          <t>Tanzanian</t>
        </is>
      </c>
    </row>
    <row r="241" hidden="1" ht="14.45" customHeight="1">
      <c r="Z241" s="64" t="inlineStr">
        <is>
          <t>Thai</t>
        </is>
      </c>
    </row>
    <row r="242" hidden="1" ht="14.45" customHeight="1">
      <c r="Z242" s="64" t="inlineStr">
        <is>
          <t>Timorese</t>
        </is>
      </c>
    </row>
    <row r="243" hidden="1" ht="14.45" customHeight="1">
      <c r="Z243" s="64" t="inlineStr">
        <is>
          <t>Togolese</t>
        </is>
      </c>
    </row>
    <row r="244" hidden="1" ht="14.45" customHeight="1">
      <c r="Z244" s="64" t="inlineStr">
        <is>
          <t>Tokelauan</t>
        </is>
      </c>
    </row>
    <row r="245" hidden="1" ht="14.45" customHeight="1">
      <c r="Z245" s="64" t="inlineStr">
        <is>
          <t>Tongan</t>
        </is>
      </c>
    </row>
    <row r="246" hidden="1" ht="14.45" customHeight="1">
      <c r="Z246" s="64" t="inlineStr">
        <is>
          <t>Trinidadian</t>
        </is>
      </c>
    </row>
    <row r="247" hidden="1" ht="14.45" customHeight="1">
      <c r="Z247" s="64" t="inlineStr">
        <is>
          <t>Tunisian</t>
        </is>
      </c>
    </row>
    <row r="248" hidden="1" ht="14.45" customHeight="1">
      <c r="Z248" s="64" t="inlineStr">
        <is>
          <t>Turkish</t>
        </is>
      </c>
    </row>
    <row r="249" hidden="1" ht="14.45" customHeight="1">
      <c r="Z249" s="64" t="inlineStr">
        <is>
          <t>Turkmen</t>
        </is>
      </c>
    </row>
    <row r="250" hidden="1" ht="14.45" customHeight="1">
      <c r="Z250" s="64" t="inlineStr">
        <is>
          <t>Turks And Caicos Islands</t>
        </is>
      </c>
    </row>
    <row r="251" hidden="1" ht="14.45" customHeight="1">
      <c r="Z251" s="64" t="inlineStr">
        <is>
          <t>Tuvaluan</t>
        </is>
      </c>
    </row>
    <row r="252" hidden="1" ht="14.45" customHeight="1">
      <c r="Z252" s="64" t="inlineStr">
        <is>
          <t>Ugandan</t>
        </is>
      </c>
    </row>
    <row r="253" hidden="1" ht="14.45" customHeight="1">
      <c r="Z253" s="64" t="inlineStr">
        <is>
          <t>Ukrainian</t>
        </is>
      </c>
    </row>
    <row r="254" hidden="1" ht="14.45" customHeight="1">
      <c r="Z254" s="64" t="inlineStr">
        <is>
          <t>United States Minor Outlying Islands</t>
        </is>
      </c>
    </row>
    <row r="255" hidden="1" ht="14.45" customHeight="1">
      <c r="Z255" s="64" t="inlineStr">
        <is>
          <t>Uruguayan</t>
        </is>
      </c>
    </row>
    <row r="256" hidden="1" ht="14.45" customHeight="1">
      <c r="Z256" s="64" t="inlineStr">
        <is>
          <t>Uzbek</t>
        </is>
      </c>
    </row>
    <row r="257" hidden="1" ht="14.45" customHeight="1">
      <c r="Z257" s="64" t="inlineStr">
        <is>
          <t>Venezuelan</t>
        </is>
      </c>
    </row>
    <row r="258" hidden="1" ht="14.45" customHeight="1">
      <c r="Z258" s="64" t="inlineStr">
        <is>
          <t>Vietnamese</t>
        </is>
      </c>
    </row>
    <row r="259" hidden="1" ht="14.45" customHeight="1">
      <c r="Z259" s="64" t="inlineStr">
        <is>
          <t>Vincentian</t>
        </is>
      </c>
    </row>
    <row r="260" hidden="1" ht="14.45" customHeight="1">
      <c r="Z260" s="64" t="inlineStr">
        <is>
          <t>Virgin Islands</t>
        </is>
      </c>
    </row>
    <row r="261" hidden="1" ht="14.45" customHeight="1">
      <c r="Z261" s="64" t="inlineStr">
        <is>
          <t>Wallisian, Futunan</t>
        </is>
      </c>
    </row>
    <row r="262" hidden="1" ht="14.45" customHeight="1">
      <c r="Z262" s="64" t="inlineStr">
        <is>
          <t>Yemeni</t>
        </is>
      </c>
    </row>
    <row r="263" hidden="1" ht="14.45" customHeight="1">
      <c r="Z263" s="64" t="inlineStr">
        <is>
          <t>Zambian</t>
        </is>
      </c>
    </row>
    <row r="264" hidden="1" ht="14.45" customHeight="1">
      <c r="Z264" s="64" t="inlineStr">
        <is>
          <t>Zimbabwean</t>
        </is>
      </c>
    </row>
  </sheetData>
  <mergeCells count="2">
    <mergeCell ref="S1:X1"/>
    <mergeCell ref="O1:Q1"/>
  </mergeCells>
  <conditionalFormatting sqref="O2:Q203">
    <cfRule type="containsText" priority="11" operator="containsText" dxfId="2" text="No">
      <formula>NOT(ISERROR(SEARCH("No",O2)))</formula>
    </cfRule>
  </conditionalFormatting>
  <conditionalFormatting sqref="R2:R202">
    <cfRule type="iconSet" priority="17">
      <iconSet iconSet="3Symbols2" showValue="0">
        <cfvo type="percent" val="0"/>
        <cfvo type="num" val="0"/>
        <cfvo type="num" val="1"/>
      </iconSet>
    </cfRule>
  </conditionalFormatting>
  <conditionalFormatting sqref="R2:R203">
    <cfRule type="containsText" priority="18" operator="containsText" dxfId="1" text="OK">
      <formula>NOT(ISERROR(SEARCH("OK",R2)))</formula>
    </cfRule>
    <cfRule type="containsText" priority="19" operator="containsText" dxfId="0" text="CHECK">
      <formula>NOT(ISERROR(SEARCH("CHECK",R2)))</formula>
    </cfRule>
  </conditionalFormatting>
  <conditionalFormatting sqref="R3 R5 R7 R9 R11 R13 R15 R17 R19 R21 R23 R25 R27 R29 R31 R33 R35 R37 R39 R41 R43 R45 R47 R49 R51 R53 R55 R57 R59 R61 R63 R65 R67 R69 R71 R73 R75 R77 R79 R81 R83 R85 R87 R89 R91 R93 R95 R97 R99 R101 R103 R105 R107 R109 R111 R113 R115 R117 R119 R121 R123 R125 R127 R129 R131 R133 R135 R137 R139 R141 R143 R145 R147 R149 R151 R153 R155 R157 R159 R161 R163 R165 R167 R169 R171 R173 R175 R177 R179 R181 R183 R185 R187 R189 R191 R193 R195 R197 R199 R201">
    <cfRule type="iconSet" priority="16">
      <iconSet iconSet="3Symbols2" showValue="0">
        <cfvo type="percent" val="0"/>
        <cfvo type="formula" val="0.5"/>
        <cfvo type="num" val="1"/>
      </iconSet>
    </cfRule>
  </conditionalFormatting>
  <conditionalFormatting sqref="R3:R201">
    <cfRule type="iconSet" priority="15">
      <iconSet iconSet="3Symbols2" showValue="0">
        <cfvo type="percent" val="0"/>
        <cfvo type="formula" val="0.5"/>
        <cfvo type="num" val="1"/>
      </iconSet>
    </cfRule>
  </conditionalFormatting>
  <conditionalFormatting sqref="R4 R6 R8 R10 R12 R14 R16 R18 R20 R22 R24 R26 R28 R30 R32 R34 R36 R38 R40 R42 R44 R46 R48 R50 R52 R54 R56 R58 R60 R62 R64 R66 R68 R70 R72 R74 R76 R78 R80 R82 R84 R86 R88 R90 R92 R94 R96 R98 R100 R102 R104 R106 R108 R110 R112 R114 R116 R118 R120 R122 R124 R126 R128 R130 R132 R134 R136 R138 R140 R142 R144 R146 R148 R150 R152 R154 R156 R158 R160 R162 R164 R166 R168 R170 R172 R174 R176 R178 R180 R182 R184 R186 R188 R190 R192 R194 R196 R198 R200">
    <cfRule type="iconSet" priority="14">
      <iconSet iconSet="3Symbols2" showValue="0">
        <cfvo type="percent" val="0"/>
        <cfvo type="formula" val="0.5"/>
        <cfvo type="num" val="1"/>
      </iconSet>
    </cfRule>
  </conditionalFormatting>
  <conditionalFormatting sqref="R5 R7 R9 R11 R13 R15 R17 R19 R21 R23 R25 R27 R29 R31 R33 R35 R37 R39 R41 R43 R45 R47 R49 R51 R53 R55 R57 R59 R61 R63 R65 R67 R69 R71 R73 R75 R77 R79 R81 R83 R85 R87 R89 R91 R93 R95 R97 R99 R101 R103 R105 R107 R109 R111 R113 R115 R117 R119 R121 R123 R125 R127 R129 R131 R133 R135 R137 R139 R141 R143 R145 R147 R149 R151 R153 R155 R157 R159 R161 R163 R165 R167 R169 R171 R173 R175 R177 R179 R181 R183 R185 R187 R189 R191 R193 R195 R197 R199 R201">
    <cfRule type="iconSet" priority="13">
      <iconSet iconSet="3Symbols2" showValue="0">
        <cfvo type="percent" val="0"/>
        <cfvo type="formula" val="0.5"/>
        <cfvo type="num" val="1"/>
      </iconSet>
    </cfRule>
  </conditionalFormatting>
  <conditionalFormatting sqref="R5">
    <cfRule type="iconSet" priority="12">
      <iconSet iconSet="3Symbols2" showValue="0">
        <cfvo type="percent" val="0"/>
        <cfvo type="formula" val="0.5"/>
        <cfvo type="num" val="1"/>
      </iconSet>
    </cfRule>
  </conditionalFormatting>
  <conditionalFormatting sqref="R202">
    <cfRule type="iconSet" priority="2">
      <iconSet iconSet="3Symbols2" showValue="0">
        <cfvo type="percent" val="0"/>
        <cfvo type="formula" val="0.5"/>
        <cfvo type="num" val="1"/>
      </iconSet>
    </cfRule>
  </conditionalFormatting>
  <conditionalFormatting sqref="R202:R203">
    <cfRule type="iconSet" priority="3">
      <iconSet iconSet="3Symbols2" showValue="0">
        <cfvo type="percent" val="0"/>
        <cfvo type="formula" val="0.5"/>
        <cfvo type="num" val="1"/>
      </iconSet>
    </cfRule>
    <cfRule type="iconSet" priority="4">
      <iconSet iconSet="3Symbols2" showValue="0">
        <cfvo type="percent" val="0"/>
        <cfvo type="num" val="0"/>
        <cfvo type="num" val="1"/>
      </iconSet>
    </cfRule>
  </conditionalFormatting>
  <conditionalFormatting sqref="R203">
    <cfRule type="iconSet" priority="1">
      <iconSet iconSet="3Symbols2" showValue="0">
        <cfvo type="percent" val="0"/>
        <cfvo type="formula" val="0.5"/>
        <cfvo type="num" val="1"/>
      </iconSet>
    </cfRule>
  </conditionalFormatting>
  <conditionalFormatting sqref="S2:S202">
    <cfRule type="iconSet" priority="25">
      <iconSet showValue="0">
        <cfvo type="percent" val="0"/>
        <cfvo type="num" val="0.5"/>
        <cfvo type="num" val="1"/>
      </iconSet>
    </cfRule>
  </conditionalFormatting>
  <conditionalFormatting sqref="S202:S203">
    <cfRule type="iconSet" priority="10">
      <iconSet showValue="0">
        <cfvo type="percent" val="0"/>
        <cfvo type="num" val="0.5"/>
        <cfvo type="num" val="1"/>
      </iconSet>
    </cfRule>
  </conditionalFormatting>
  <conditionalFormatting sqref="T2:V202">
    <cfRule type="iconSet" priority="22">
      <iconSet showValue="0">
        <cfvo type="percent" val="0"/>
        <cfvo type="num" val="0.5"/>
        <cfvo type="num" val="1"/>
      </iconSet>
    </cfRule>
    <cfRule type="iconSet" priority="24">
      <iconSet showValue="0">
        <cfvo type="percent" val="0"/>
        <cfvo type="num" val="0"/>
        <cfvo type="num" val="1"/>
      </iconSet>
    </cfRule>
  </conditionalFormatting>
  <conditionalFormatting sqref="T202:V203">
    <cfRule type="iconSet" priority="7">
      <iconSet showValue="0">
        <cfvo type="percent" val="0"/>
        <cfvo type="num" val="0.5"/>
        <cfvo type="num" val="1"/>
      </iconSet>
    </cfRule>
    <cfRule type="iconSet" priority="9">
      <iconSet showValue="0">
        <cfvo type="percent" val="0"/>
        <cfvo type="num" val="0"/>
        <cfvo type="num" val="1"/>
      </iconSet>
    </cfRule>
  </conditionalFormatting>
  <conditionalFormatting sqref="W2:W202">
    <cfRule type="iconSet" priority="23">
      <iconSet showValue="0">
        <cfvo type="percent" val="0"/>
        <cfvo type="num" val="1"/>
        <cfvo type="num" val="1"/>
      </iconSet>
    </cfRule>
  </conditionalFormatting>
  <conditionalFormatting sqref="W202:W203">
    <cfRule type="iconSet" priority="8">
      <iconSet showValue="0">
        <cfvo type="percent" val="0"/>
        <cfvo type="num" val="2.5"/>
        <cfvo type="num" val="3"/>
      </iconSet>
    </cfRule>
  </conditionalFormatting>
  <conditionalFormatting sqref="X2:X202">
    <cfRule type="iconSet" priority="20">
      <iconSet showValue="0">
        <cfvo type="percent" val="0"/>
        <cfvo type="num" val="0.5"/>
        <cfvo type="num" val="1"/>
      </iconSet>
    </cfRule>
    <cfRule type="iconSet" priority="21">
      <iconSet showValue="0">
        <cfvo type="percent" val="0"/>
        <cfvo type="num" val="2.5"/>
        <cfvo type="num" val="3"/>
      </iconSet>
    </cfRule>
  </conditionalFormatting>
  <conditionalFormatting sqref="X202:X203">
    <cfRule type="iconSet" priority="5">
      <iconSet showValue="0">
        <cfvo type="percent" val="0"/>
        <cfvo type="num" val="0.5"/>
        <cfvo type="num" val="1"/>
      </iconSet>
    </cfRule>
    <cfRule type="iconSet" priority="6">
      <iconSet showValue="0">
        <cfvo type="percent" val="0"/>
        <cfvo type="num" val="2.5"/>
        <cfvo type="num" val="3"/>
      </iconSet>
    </cfRule>
  </conditionalFormatting>
  <dataValidations count="7">
    <dataValidation sqref="D2:D201" showDropDown="0" showInputMessage="1" showErrorMessage="1" allowBlank="1" type="list">
      <formula1>$D$214:$D$215</formula1>
    </dataValidation>
    <dataValidation sqref="C2:C201" showDropDown="0" showInputMessage="1" showErrorMessage="1" allowBlank="1" type="list">
      <formula1>$C$214:$C$218</formula1>
    </dataValidation>
    <dataValidation sqref="E2:E201" showDropDown="0" showInputMessage="1" showErrorMessage="1" allowBlank="1" type="list">
      <formula1>$E$214:$E$215</formula1>
    </dataValidation>
    <dataValidation sqref="I2:I202" showDropDown="0" showInputMessage="1" showErrorMessage="1" allowBlank="1" type="list">
      <formula1>$G$214:$G$217</formula1>
    </dataValidation>
    <dataValidation sqref="G2:G202" showDropDown="0" showInputMessage="1" showErrorMessage="1" allowBlank="1" type="date">
      <formula1>$AN$6</formula1>
      <formula2>$AN$7</formula2>
    </dataValidation>
    <dataValidation sqref="H203:H1048576" showDropDown="0" showInputMessage="1" showErrorMessage="1" allowBlank="1" type="list">
      <formula1>$Z$31:$Z$188</formula1>
    </dataValidation>
    <dataValidation sqref="H2:H202" showDropDown="0" showInputMessage="1" showErrorMessage="1" allowBlank="1" type="list">
      <formula1>$Z$30:$Z$264</formula1>
    </dataValidation>
  </dataValidations>
  <printOptions horizontalCentered="1"/>
  <pageMargins left="0.2" right="0.2" top="1" bottom="0.3" header="0.2" footer="0.2"/>
  <pageSetup orientation="portrait" paperSize="9" scale="22" fitToHeight="0"/>
  <headerFooter>
    <oddHeader>&amp;L&amp;G&amp;C&amp;"Calibri"&amp;10&amp;K000000INTERNAL&amp;1#_x000d_&amp;"Calibri"&amp;11 &amp;K000000Indicative Terms</oddHeader>
    <oddFooter>&amp;L&amp;"Calibri"&amp;11&amp;K000000&amp;"Calibri"&amp;11&amp;K000000&amp;"Calibri"&amp;11&amp;K000000&amp;"Calibri"&amp;11&amp;K000000&amp;"Calibri"&amp;11 &amp;K000000VERSION-&amp;F&amp;C&amp;P of &amp;N&amp;RQUOTATION VALID FOR 30 DAYS FROM ITS ISSUE DATE</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MULLER Bruno</dc:creator>
  <dcterms:created xsi:type="dcterms:W3CDTF">2017-04-14T13:02:03Z</dcterms:created>
  <dcterms:modified xsi:type="dcterms:W3CDTF">2025-09-25T07:56:13Z</dcterms:modified>
  <cp:lastModifiedBy>Sandali Fernando</cp:lastModifiedBy>
</cp:coreProperties>
</file>

<file path=docProps/custom.xml><?xml version="1.0" encoding="utf-8"?>
<Properties xmlns:vt="http://schemas.openxmlformats.org/officeDocument/2006/docPropsVTypes" xmlns="http://schemas.openxmlformats.org/officeDocument/2006/custom-properties">
  <property name="MSIP_Label_bbfbbd0f-0666-461a-9212-afe773a25324_Enabled" fmtid="{D5CDD505-2E9C-101B-9397-08002B2CF9AE}" pid="2">
    <vt:lpwstr>true</vt:lpwstr>
  </property>
  <property name="MSIP_Label_bbfbbd0f-0666-461a-9212-afe773a25324_SetDate" fmtid="{D5CDD505-2E9C-101B-9397-08002B2CF9AE}" pid="3">
    <vt:lpwstr>2022-09-29T16:17:37Z</vt:lpwstr>
  </property>
  <property name="MSIP_Label_bbfbbd0f-0666-461a-9212-afe773a25324_Method" fmtid="{D5CDD505-2E9C-101B-9397-08002B2CF9AE}" pid="4">
    <vt:lpwstr>Standard</vt:lpwstr>
  </property>
  <property name="MSIP_Label_bbfbbd0f-0666-461a-9212-afe773a25324_Name" fmtid="{D5CDD505-2E9C-101B-9397-08002B2CF9AE}" pid="5">
    <vt:lpwstr>AFA Confidentiel</vt:lpwstr>
  </property>
  <property name="MSIP_Label_bbfbbd0f-0666-461a-9212-afe773a25324_SiteId" fmtid="{D5CDD505-2E9C-101B-9397-08002B2CF9AE}" pid="6">
    <vt:lpwstr>396b38cc-aa65-492b-bb0e-3d94ed25a97b</vt:lpwstr>
  </property>
  <property name="MSIP_Label_bbfbbd0f-0666-461a-9212-afe773a25324_ActionId" fmtid="{D5CDD505-2E9C-101B-9397-08002B2CF9AE}" pid="7">
    <vt:lpwstr>08349a70-5864-4c67-81c7-b219b2b39e9b</vt:lpwstr>
  </property>
  <property name="MSIP_Label_bbfbbd0f-0666-461a-9212-afe773a25324_ContentBits" fmtid="{D5CDD505-2E9C-101B-9397-08002B2CF9AE}" pid="8">
    <vt:lpwstr>3</vt:lpwstr>
  </property>
  <property name="MSIP_Label_29c414be-3782-43dc-860e-079606eeac77_Enabled" fmtid="{D5CDD505-2E9C-101B-9397-08002B2CF9AE}" pid="9">
    <vt:lpwstr>true</vt:lpwstr>
  </property>
  <property name="MSIP_Label_29c414be-3782-43dc-860e-079606eeac77_SetDate" fmtid="{D5CDD505-2E9C-101B-9397-08002B2CF9AE}" pid="10">
    <vt:lpwstr>2023-02-28T11:26:44Z</vt:lpwstr>
  </property>
  <property name="MSIP_Label_29c414be-3782-43dc-860e-079606eeac77_Method" fmtid="{D5CDD505-2E9C-101B-9397-08002B2CF9AE}" pid="11">
    <vt:lpwstr>Privileged</vt:lpwstr>
  </property>
  <property name="MSIP_Label_29c414be-3782-43dc-860e-079606eeac77_Name" fmtid="{D5CDD505-2E9C-101B-9397-08002B2CF9AE}" pid="12">
    <vt:lpwstr>INTERNAL</vt:lpwstr>
  </property>
  <property name="MSIP_Label_29c414be-3782-43dc-860e-079606eeac77_SiteId" fmtid="{D5CDD505-2E9C-101B-9397-08002B2CF9AE}" pid="13">
    <vt:lpwstr>0bde82a0-0f4c-4762-ab20-92996d99ed61</vt:lpwstr>
  </property>
  <property name="MSIP_Label_29c414be-3782-43dc-860e-079606eeac77_ActionId" fmtid="{D5CDD505-2E9C-101B-9397-08002B2CF9AE}" pid="14">
    <vt:lpwstr>9f3f0ff7-a5b3-42ff-a104-20350ddd9a21</vt:lpwstr>
  </property>
  <property name="MSIP_Label_29c414be-3782-43dc-860e-079606eeac77_ContentBits" fmtid="{D5CDD505-2E9C-101B-9397-08002B2CF9AE}" pid="15">
    <vt:lpwstr>1</vt:lpwstr>
  </property>
</Properties>
</file>